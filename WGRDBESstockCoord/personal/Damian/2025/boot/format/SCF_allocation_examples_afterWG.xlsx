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vo-my.sharepoint.com/personal/damian_villagra_ilvo_vlaanderen_be/Documents/03. Development/RStudio/D1SCI/VISBIO/2. RDBES/RDBESstockCoord/WGRDBESstockCoord/personal/Damian/2025/boot/format/"/>
    </mc:Choice>
  </mc:AlternateContent>
  <xr:revisionPtr revIDLastSave="1600" documentId="8_{3780A521-E696-48DA-9003-7A103FEA9527}" xr6:coauthVersionLast="47" xr6:coauthVersionMax="47" xr10:uidLastSave="{5283CDBD-2537-4B0C-992E-695F886B142A}"/>
  <bookViews>
    <workbookView xWindow="-120" yWindow="-120" windowWidth="29040" windowHeight="15720" tabRatio="768" activeTab="6" xr2:uid="{A0D2DF42-8E1C-4B88-A2CC-43A0C7F57BBB}"/>
  </bookViews>
  <sheets>
    <sheet name="CAR_CAS_BMS" sheetId="13" r:id="rId1"/>
    <sheet name="DAR_DAS_BMS" sheetId="14" r:id="rId2"/>
    <sheet name="CAR_CAS_version1" sheetId="1" r:id="rId3"/>
    <sheet name="DAR_DAS_version1" sheetId="3" r:id="rId4"/>
    <sheet name="CAR_CAS_version2" sheetId="8" r:id="rId5"/>
    <sheet name="DAR_DAS_version2" sheetId="9" r:id="rId6"/>
    <sheet name="CAR_CAS_version3" sheetId="10" r:id="rId7"/>
    <sheet name="DAR_DAS_version3" sheetId="11" r:id="rId8"/>
    <sheet name="overview" sheetId="12" r:id="rId9"/>
  </sheets>
  <definedNames>
    <definedName name="_xlnm._FilterDatabase" localSheetId="0" hidden="1">CAR_CAS_BMS!$A$23:$Z$26</definedName>
    <definedName name="_xlnm._FilterDatabase" localSheetId="2" hidden="1">CAR_CAS_version1!$A$17:$Z$19</definedName>
    <definedName name="_xlnm._FilterDatabase" localSheetId="4" hidden="1">CAR_CAS_version2!$A$17:$AC$18</definedName>
    <definedName name="_xlnm._FilterDatabase" localSheetId="6" hidden="1">CAR_CAS_version3!$A$18:$Z$20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6" i="13" l="1"/>
  <c r="Z37" i="13"/>
  <c r="Z28" i="13"/>
  <c r="V28" i="13"/>
  <c r="Z24" i="13"/>
  <c r="V24" i="13"/>
  <c r="Z27" i="13"/>
  <c r="Z26" i="13"/>
  <c r="Z25" i="13"/>
  <c r="Z21" i="10"/>
  <c r="Z20" i="10"/>
  <c r="Z19" i="10"/>
  <c r="AC19" i="8"/>
  <c r="AC18" i="8"/>
  <c r="Z20" i="1"/>
  <c r="Z19" i="1"/>
  <c r="Z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tc={4E9FB83C-9AB7-4993-A8FC-D3A796D7644B}</author>
    <author>tc={5C3DE19D-8140-4BF4-8715-A26FE39936C0}</author>
  </authors>
  <commentList>
    <comment ref="N23" authorId="0" shapeId="0" xr:uid="{4E9FB83C-9AB7-4993-A8FC-D3A796D7644B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  <comment ref="N32" authorId="1" shapeId="0" xr:uid="{5C3DE19D-8140-4BF4-8715-A26FE39936C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tc={71025504-CAD6-4B9F-B7F8-597BB9A11189}</author>
  </authors>
  <commentList>
    <comment ref="N17" authorId="0" shapeId="0" xr:uid="{71025504-CAD6-4B9F-B7F8-597BB9A11189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</commentList>
</comments>
</file>

<file path=xl/sharedStrings.xml><?xml version="1.0" encoding="utf-8"?>
<sst xmlns="http://schemas.openxmlformats.org/spreadsheetml/2006/main" count="19626" uniqueCount="109">
  <si>
    <t>recordType</t>
  </si>
  <si>
    <t>version</t>
  </si>
  <si>
    <t>versionDescription</t>
  </si>
  <si>
    <t>catchAllocationSchemeName</t>
  </si>
  <si>
    <t>catchAllocationGroupName</t>
  </si>
  <si>
    <t>imported</t>
  </si>
  <si>
    <t>vesselFlagCountry</t>
  </si>
  <si>
    <t>calendarYear</t>
  </si>
  <si>
    <t>workingGroupYear</t>
  </si>
  <si>
    <t>year</t>
  </si>
  <si>
    <t>workingGroup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</si>
  <si>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</si>
  <si>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</si>
  <si>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</si>
  <si>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</si>
  <si>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</si>
  <si>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</si>
  <si>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</si>
  <si>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</si>
  <si>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fleetType</t>
  </si>
  <si>
    <t>fleetValue</t>
  </si>
  <si>
    <t>originType</t>
  </si>
  <si>
    <t>variableType</t>
  </si>
  <si>
    <t>variableUnit</t>
  </si>
  <si>
    <t>total</t>
  </si>
  <si>
    <t>variance</t>
  </si>
  <si>
    <t>PSU</t>
  </si>
  <si>
    <t>numPSUs</t>
  </si>
  <si>
    <t>numTrips</t>
  </si>
  <si>
    <t>comment</t>
  </si>
  <si>
    <t>CAR</t>
  </si>
  <si>
    <t>stock_annex</t>
  </si>
  <si>
    <t>Y</t>
  </si>
  <si>
    <t>GB-ENG</t>
  </si>
  <si>
    <t>WGCSE</t>
  </si>
  <si>
    <t>sol.27.7fg</t>
  </si>
  <si>
    <t>Dis</t>
  </si>
  <si>
    <t>Quarter</t>
  </si>
  <si>
    <t>ICESArea</t>
  </si>
  <si>
    <t>27.7.f</t>
  </si>
  <si>
    <t>Fleet</t>
  </si>
  <si>
    <t>TBB_DEF_70-99_0_0_all</t>
  </si>
  <si>
    <t>WGEstimate</t>
  </si>
  <si>
    <t>WeightLive</t>
  </si>
  <si>
    <t>kg</t>
  </si>
  <si>
    <t>fishingtrip</t>
  </si>
  <si>
    <t>BE</t>
  </si>
  <si>
    <t>Year</t>
  </si>
  <si>
    <t>27.7.f;27.7.g</t>
  </si>
  <si>
    <t>2025_stock_annex</t>
  </si>
  <si>
    <t>G1</t>
  </si>
  <si>
    <t>N</t>
  </si>
  <si>
    <t>27.7.g</t>
  </si>
  <si>
    <t>Lan</t>
  </si>
  <si>
    <t>weightingCategory</t>
  </si>
  <si>
    <t>weightingParameter</t>
  </si>
  <si>
    <t>averagingMethod</t>
  </si>
  <si>
    <t>weightingTotal</t>
  </si>
  <si>
    <t>rate</t>
  </si>
  <si>
    <t>CAS</t>
  </si>
  <si>
    <t>weighted</t>
  </si>
  <si>
    <t>distributionAllocationSchemeName</t>
  </si>
  <si>
    <t>distributionAllocationGroupName</t>
  </si>
  <si>
    <t xml:space="preserve">workingGroup </t>
  </si>
  <si>
    <t>distributionType</t>
  </si>
  <si>
    <t>distributionUnit</t>
  </si>
  <si>
    <t>distributionClass</t>
  </si>
  <si>
    <t>ageGroupPlus</t>
  </si>
  <si>
    <t>attributeType</t>
  </si>
  <si>
    <t>attibuteValue</t>
  </si>
  <si>
    <t>value</t>
  </si>
  <si>
    <t>numMeasurements</t>
  </si>
  <si>
    <t>DAR</t>
  </si>
  <si>
    <t>Number</t>
  </si>
  <si>
    <t>NE3</t>
  </si>
  <si>
    <t>Total</t>
  </si>
  <si>
    <t>fishing trip</t>
  </si>
  <si>
    <t>Mean</t>
  </si>
  <si>
    <t>G2</t>
  </si>
  <si>
    <t>G3</t>
  </si>
  <si>
    <t>DAS</t>
  </si>
  <si>
    <t>Age</t>
  </si>
  <si>
    <t>y</t>
  </si>
  <si>
    <t>startDateYear</t>
  </si>
  <si>
    <t>IR</t>
  </si>
  <si>
    <t>totalvariableType</t>
  </si>
  <si>
    <t>totalvariableUnit</t>
  </si>
  <si>
    <t>distributionvariableType</t>
  </si>
  <si>
    <t>distributionvalueType</t>
  </si>
  <si>
    <t>only apply country specific samples where possible</t>
  </si>
  <si>
    <t>2025_stock_annex_adjusted</t>
  </si>
  <si>
    <t>2023 GB-ENG samples</t>
  </si>
  <si>
    <t>CAR/CAS</t>
  </si>
  <si>
    <t>DAR/DAS</t>
  </si>
  <si>
    <t>same as version 1</t>
  </si>
  <si>
    <t>2025_stock_annex_adjusted with 2023</t>
  </si>
  <si>
    <t>G2; G3</t>
  </si>
  <si>
    <t>country specific samples where possible</t>
  </si>
  <si>
    <t>catchAllocationGroupNameTarget</t>
  </si>
  <si>
    <t>catchAllocationGroupNameSource</t>
  </si>
  <si>
    <t>distributionAllocationGroupNameTarget</t>
  </si>
  <si>
    <t>distributionAllocationGroupNameSource</t>
  </si>
  <si>
    <t>BMS</t>
  </si>
  <si>
    <t>G1; G2</t>
  </si>
  <si>
    <t>All with BE distribution</t>
  </si>
  <si>
    <t>GB-ENG strata with  BE and  IR distribution; 
IR strata with IR distribution</t>
  </si>
  <si>
    <t>GB-ENG strata with GB-ENG 2023 distribution; 
IR strata with IR distribution</t>
  </si>
  <si>
    <t>GB-ENG strata  with GB-ENG and BE samples;
 IR strata with IR samples</t>
  </si>
  <si>
    <t>GB-ENG strata  with GB-ENG samples;
 IR strata with IR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</si>
</sst>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9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0" fillId="4" borderId="0" xfId="0" applyFill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fie Nimmegeers" id="{16D01560-AE82-43F6-A520-F0869FAE75A0}" userId="S::Sofie.Nimmegeers@ilvo.vlaanderen.be::b83f35a6-47f4-4e7f-9f98-5f9a8d083a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3" dT="2026-10-02T08:20:05.72" personId="{16D01560-AE82-43F6-A520-F0869FAE75A0}" id="{4E9FB83C-9AB7-4993-A8FC-D3A796D7644B}">
    <text>Lan is not possible here</text>
  </threadedComment>
  <threadedComment ref="N32" dT="2026-10-02T08:20:05.72" personId="{16D01560-AE82-43F6-A520-F0869FAE75A0}" id="{5C3DE19D-8140-4BF4-8715-A26FE39936C0}">
    <text>Lan is not possible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7" dT="2026-10-02T08:20:05.72" personId="{16D01560-AE82-43F6-A520-F0869FAE75A0}" id="{71025504-CAD6-4B9F-B7F8-597BB9A11189}">
    <text>Lan is not possible 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06F2-3898-4EB5-ADA3-D6DB1C696AD1}">
  <sheetPr>
    <tabColor rgb="FFFFC000"/>
  </sheetPr>
  <dimension ref="A1:AE37"/>
  <sheetViews>
    <sheetView topLeftCell="E1" zoomScale="70" zoomScaleNormal="70" workbookViewId="0">
      <selection activeCell="J1" sqref="J1"/>
    </sheetView>
  </sheetViews>
  <sheetFormatPr defaultRowHeight="15" x14ac:dyDescent="0.25"/>
  <cols>
    <col min="1" max="1" width="16.5703125" customWidth="1"/>
    <col min="2" max="2" width="30.85546875" customWidth="1"/>
    <col min="3" max="3" width="11" customWidth="1"/>
    <col min="4" max="4" width="47.140625" customWidth="1"/>
    <col min="5" max="5" width="38.5703125" customWidth="1"/>
    <col min="6" max="6" width="41.7109375" customWidth="1"/>
    <col min="7" max="7" width="44.42578125" customWidth="1"/>
    <col min="8" max="8" width="31.7109375" customWidth="1"/>
    <col min="9" max="9" width="33.7109375" customWidth="1"/>
    <col min="10" max="10" width="31.85546875" customWidth="1"/>
    <col min="11" max="12" width="22.28515625" customWidth="1"/>
    <col min="13" max="13" width="18.28515625" customWidth="1"/>
    <col min="14" max="14" width="24.5703125" customWidth="1"/>
    <col min="15" max="15" width="18.7109375" bestFit="1" customWidth="1"/>
    <col min="16" max="16" width="12.42578125" customWidth="1"/>
    <col min="17" max="17" width="16.28515625" bestFit="1" customWidth="1"/>
    <col min="18" max="18" width="14" bestFit="1" customWidth="1"/>
    <col min="19" max="19" width="21" customWidth="1"/>
    <col min="20" max="20" width="28.140625" customWidth="1"/>
    <col min="21" max="21" width="31" bestFit="1" customWidth="1"/>
    <col min="22" max="22" width="26.42578125" bestFit="1" customWidth="1"/>
    <col min="23" max="23" width="39.7109375" bestFit="1" customWidth="1"/>
    <col min="24" max="24" width="39.7109375" customWidth="1"/>
    <col min="25" max="25" width="39.7109375" bestFit="1" customWidth="1"/>
    <col min="26" max="26" width="39.7109375" customWidth="1"/>
    <col min="27" max="27" width="39.7109375" bestFit="1" customWidth="1"/>
    <col min="28" max="28" width="37.28515625" customWidth="1"/>
    <col min="29" max="29" width="19.5703125" bestFit="1" customWidth="1"/>
    <col min="30" max="30" width="17" customWidth="1"/>
    <col min="31" max="31" width="21.7109375" customWidth="1"/>
    <col min="32" max="32" width="12.7109375" bestFit="1" customWidth="1"/>
    <col min="33" max="33" width="12.5703125" bestFit="1" customWidth="1"/>
    <col min="34" max="34" width="14.140625" customWidth="1"/>
    <col min="35" max="35" width="23.140625" bestFit="1" customWidth="1"/>
    <col min="36" max="36" width="24.5703125" bestFit="1" customWidth="1"/>
    <col min="37" max="37" width="27.42578125" customWidth="1"/>
    <col min="38" max="38" width="21.85546875" customWidth="1"/>
    <col min="39" max="39" width="23" customWidth="1"/>
    <col min="40" max="40" width="12.7109375" bestFit="1" customWidth="1"/>
    <col min="41" max="41" width="11.42578125" customWidth="1"/>
  </cols>
  <sheetData>
    <row r="1" spans="1:31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30</v>
      </c>
      <c r="B2">
        <v>2025</v>
      </c>
      <c r="C2">
        <v>1</v>
      </c>
      <c r="D2" t="s">
        <v>31</v>
      </c>
      <c r="G2" t="s">
        <v>103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102</v>
      </c>
      <c r="Q2" t="s">
        <v>37</v>
      </c>
      <c r="R2">
        <v>1</v>
      </c>
      <c r="S2" t="s">
        <v>38</v>
      </c>
      <c r="T2" t="s">
        <v>52</v>
      </c>
      <c r="V2" t="s">
        <v>40</v>
      </c>
      <c r="W2" t="s">
        <v>41</v>
      </c>
      <c r="X2" t="s">
        <v>43</v>
      </c>
      <c r="Y2" t="s">
        <v>44</v>
      </c>
      <c r="Z2">
        <v>456</v>
      </c>
      <c r="AB2" t="s">
        <v>45</v>
      </c>
      <c r="AC2">
        <v>3</v>
      </c>
      <c r="AD2">
        <v>3</v>
      </c>
    </row>
    <row r="3" spans="1:31" x14ac:dyDescent="0.25">
      <c r="A3" t="s">
        <v>30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33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37</v>
      </c>
      <c r="R3">
        <v>1</v>
      </c>
      <c r="S3" t="s">
        <v>38</v>
      </c>
      <c r="T3" t="s">
        <v>39</v>
      </c>
      <c r="V3" t="s">
        <v>40</v>
      </c>
      <c r="W3" t="s">
        <v>41</v>
      </c>
      <c r="X3" t="s">
        <v>43</v>
      </c>
      <c r="Y3" t="s">
        <v>44</v>
      </c>
      <c r="Z3">
        <v>5998.7539999999999</v>
      </c>
      <c r="AB3" t="s">
        <v>45</v>
      </c>
      <c r="AC3">
        <v>2</v>
      </c>
      <c r="AD3">
        <v>2</v>
      </c>
    </row>
    <row r="4" spans="1:31" x14ac:dyDescent="0.25">
      <c r="A4" t="s">
        <v>30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B4" t="s">
        <v>45</v>
      </c>
      <c r="AC4">
        <v>8</v>
      </c>
      <c r="AD4">
        <v>8</v>
      </c>
    </row>
    <row r="5" spans="1:31" x14ac:dyDescent="0.25">
      <c r="A5" t="s">
        <v>30</v>
      </c>
      <c r="B5">
        <v>2025</v>
      </c>
      <c r="C5">
        <v>1</v>
      </c>
      <c r="D5" t="s">
        <v>31</v>
      </c>
      <c r="G5" t="s">
        <v>78</v>
      </c>
      <c r="H5" t="s">
        <v>32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39</v>
      </c>
      <c r="V5" t="s">
        <v>40</v>
      </c>
      <c r="W5" t="s">
        <v>41</v>
      </c>
      <c r="X5" t="s">
        <v>43</v>
      </c>
      <c r="Y5" t="s">
        <v>44</v>
      </c>
      <c r="Z5">
        <v>12569</v>
      </c>
      <c r="AB5" t="s">
        <v>45</v>
      </c>
      <c r="AC5">
        <v>12</v>
      </c>
      <c r="AD5">
        <v>12</v>
      </c>
    </row>
    <row r="6" spans="1:31" x14ac:dyDescent="0.25">
      <c r="A6" t="s">
        <v>30</v>
      </c>
      <c r="B6">
        <v>2025</v>
      </c>
      <c r="C6">
        <v>1</v>
      </c>
      <c r="D6" t="s">
        <v>31</v>
      </c>
      <c r="E6" t="s">
        <v>49</v>
      </c>
      <c r="F6" t="s">
        <v>78</v>
      </c>
      <c r="H6" t="s">
        <v>51</v>
      </c>
      <c r="I6" t="s">
        <v>84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37</v>
      </c>
      <c r="R6">
        <v>1</v>
      </c>
      <c r="S6" t="s">
        <v>38</v>
      </c>
      <c r="T6" t="s">
        <v>52</v>
      </c>
      <c r="V6" t="s">
        <v>40</v>
      </c>
      <c r="W6" t="s">
        <v>41</v>
      </c>
      <c r="X6" t="s">
        <v>43</v>
      </c>
      <c r="Y6" t="s">
        <v>44</v>
      </c>
      <c r="Z6">
        <v>258</v>
      </c>
    </row>
    <row r="7" spans="1:31" x14ac:dyDescent="0.25">
      <c r="A7" t="s">
        <v>30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33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37</v>
      </c>
      <c r="R7">
        <v>1</v>
      </c>
      <c r="S7" t="s">
        <v>38</v>
      </c>
      <c r="T7" t="s">
        <v>39</v>
      </c>
      <c r="V7" t="s">
        <v>40</v>
      </c>
      <c r="W7" t="s">
        <v>41</v>
      </c>
      <c r="X7" t="s">
        <v>43</v>
      </c>
      <c r="Y7" t="s">
        <v>44</v>
      </c>
      <c r="Z7">
        <v>249986.1</v>
      </c>
    </row>
    <row r="8" spans="1:31" x14ac:dyDescent="0.25">
      <c r="A8" t="s">
        <v>30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672669</v>
      </c>
    </row>
    <row r="9" spans="1:31" x14ac:dyDescent="0.25">
      <c r="A9" t="s">
        <v>30</v>
      </c>
      <c r="B9">
        <v>2025</v>
      </c>
      <c r="C9">
        <v>1</v>
      </c>
      <c r="D9" t="s">
        <v>31</v>
      </c>
      <c r="G9" t="s">
        <v>78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47</v>
      </c>
      <c r="R9">
        <v>2024</v>
      </c>
      <c r="S9" t="s">
        <v>38</v>
      </c>
      <c r="T9" t="s">
        <v>39</v>
      </c>
      <c r="V9" t="s">
        <v>40</v>
      </c>
      <c r="W9" t="s">
        <v>41</v>
      </c>
      <c r="X9" t="s">
        <v>43</v>
      </c>
      <c r="Y9" t="s">
        <v>44</v>
      </c>
      <c r="Z9">
        <v>210300</v>
      </c>
    </row>
    <row r="10" spans="1:31" x14ac:dyDescent="0.25">
      <c r="A10" t="s">
        <v>30</v>
      </c>
      <c r="B10">
        <v>2025</v>
      </c>
      <c r="C10">
        <v>1</v>
      </c>
      <c r="D10" t="s">
        <v>31</v>
      </c>
      <c r="H10" t="s">
        <v>32</v>
      </c>
      <c r="I10" t="s">
        <v>84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53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5236</v>
      </c>
    </row>
    <row r="11" spans="1:31" x14ac:dyDescent="0.25">
      <c r="A11" t="s">
        <v>30</v>
      </c>
      <c r="B11">
        <v>2025</v>
      </c>
      <c r="C11">
        <v>1</v>
      </c>
      <c r="D11" t="s">
        <v>31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1</v>
      </c>
      <c r="S11" t="s">
        <v>38</v>
      </c>
      <c r="T11" t="s">
        <v>52</v>
      </c>
      <c r="V11" t="s">
        <v>40</v>
      </c>
      <c r="W11" t="s">
        <v>41</v>
      </c>
      <c r="X11" t="s">
        <v>43</v>
      </c>
      <c r="Y11" t="s">
        <v>44</v>
      </c>
      <c r="Z11">
        <v>523.418731364515</v>
      </c>
    </row>
    <row r="12" spans="1:31" x14ac:dyDescent="0.25">
      <c r="A12" t="s">
        <v>30</v>
      </c>
      <c r="B12">
        <v>2025</v>
      </c>
      <c r="C12">
        <v>1</v>
      </c>
      <c r="D12" t="s">
        <v>31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39</v>
      </c>
      <c r="V12" t="s">
        <v>40</v>
      </c>
      <c r="W12" t="s">
        <v>41</v>
      </c>
      <c r="X12" t="s">
        <v>43</v>
      </c>
      <c r="Y12" t="s">
        <v>44</v>
      </c>
      <c r="Z12">
        <v>1819.45994532345</v>
      </c>
    </row>
    <row r="13" spans="1:31" x14ac:dyDescent="0.25">
      <c r="A13" t="s">
        <v>30</v>
      </c>
      <c r="B13">
        <v>2025</v>
      </c>
      <c r="C13">
        <v>1</v>
      </c>
      <c r="D13" t="s">
        <v>31</v>
      </c>
      <c r="E13" t="s">
        <v>49</v>
      </c>
      <c r="F13" t="s">
        <v>50</v>
      </c>
      <c r="H13" t="s">
        <v>51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37</v>
      </c>
      <c r="R13">
        <v>2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206.82454807327201</v>
      </c>
    </row>
    <row r="14" spans="1:31" x14ac:dyDescent="0.25">
      <c r="A14" t="s">
        <v>30</v>
      </c>
      <c r="B14">
        <v>2025</v>
      </c>
      <c r="C14">
        <v>1</v>
      </c>
      <c r="D14" t="s">
        <v>31</v>
      </c>
      <c r="G14" t="s">
        <v>78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1</v>
      </c>
      <c r="S14" t="s">
        <v>38</v>
      </c>
      <c r="T14" t="s">
        <v>52</v>
      </c>
      <c r="V14" t="s">
        <v>40</v>
      </c>
      <c r="W14" t="s">
        <v>41</v>
      </c>
      <c r="X14" t="s">
        <v>43</v>
      </c>
      <c r="Y14" t="s">
        <v>44</v>
      </c>
      <c r="Z14">
        <v>10888.5</v>
      </c>
    </row>
    <row r="15" spans="1:31" x14ac:dyDescent="0.25">
      <c r="A15" t="s">
        <v>30</v>
      </c>
      <c r="B15">
        <v>2025</v>
      </c>
      <c r="C15">
        <v>1</v>
      </c>
      <c r="D15" t="s">
        <v>31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39</v>
      </c>
      <c r="V15" t="s">
        <v>40</v>
      </c>
      <c r="W15" t="s">
        <v>41</v>
      </c>
      <c r="X15" t="s">
        <v>43</v>
      </c>
      <c r="Y15" t="s">
        <v>44</v>
      </c>
      <c r="Z15">
        <v>37849.599999999999</v>
      </c>
    </row>
    <row r="16" spans="1:31" x14ac:dyDescent="0.25">
      <c r="A16" t="s">
        <v>30</v>
      </c>
      <c r="B16">
        <v>2025</v>
      </c>
      <c r="C16">
        <v>1</v>
      </c>
      <c r="D16" t="s">
        <v>31</v>
      </c>
      <c r="H16" t="s">
        <v>32</v>
      </c>
      <c r="I16" t="s">
        <v>33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37</v>
      </c>
      <c r="R16">
        <v>2</v>
      </c>
      <c r="S16" t="s">
        <v>38</v>
      </c>
      <c r="T16" t="s">
        <v>52</v>
      </c>
      <c r="V16" t="s">
        <v>40</v>
      </c>
      <c r="W16" t="s">
        <v>41</v>
      </c>
      <c r="X16" t="s">
        <v>43</v>
      </c>
      <c r="Y16" t="s">
        <v>44</v>
      </c>
      <c r="Z16">
        <v>4302.5</v>
      </c>
    </row>
    <row r="23" spans="1:27" s="2" customFormat="1" x14ac:dyDescent="0.25">
      <c r="A23" s="1" t="s">
        <v>0</v>
      </c>
      <c r="B23" s="1" t="s">
        <v>8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6</v>
      </c>
      <c r="H23" s="1" t="s">
        <v>7</v>
      </c>
      <c r="I23" s="1" t="s">
        <v>83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58</v>
      </c>
      <c r="W23" s="1" t="s">
        <v>56</v>
      </c>
      <c r="X23" s="1" t="s">
        <v>54</v>
      </c>
      <c r="Y23" s="1" t="s">
        <v>55</v>
      </c>
      <c r="Z23" s="1" t="s">
        <v>57</v>
      </c>
      <c r="AA23" s="1" t="s">
        <v>29</v>
      </c>
    </row>
    <row r="24" spans="1:27" s="7" customFormat="1" x14ac:dyDescent="0.25">
      <c r="A24" s="7" t="s">
        <v>59</v>
      </c>
      <c r="B24" s="7">
        <v>2025</v>
      </c>
      <c r="C24" s="7">
        <v>1</v>
      </c>
      <c r="D24" s="7" t="s">
        <v>31</v>
      </c>
      <c r="E24" s="7" t="s">
        <v>49</v>
      </c>
      <c r="F24" s="7" t="s">
        <v>50</v>
      </c>
      <c r="G24" s="7" t="s">
        <v>33</v>
      </c>
      <c r="H24" s="7" t="s">
        <v>32</v>
      </c>
      <c r="J24" s="7">
        <v>2024</v>
      </c>
      <c r="K24" s="7" t="s">
        <v>34</v>
      </c>
      <c r="L24" s="7" t="s">
        <v>35</v>
      </c>
      <c r="M24" s="7">
        <v>127160</v>
      </c>
      <c r="N24" s="7" t="s">
        <v>102</v>
      </c>
      <c r="O24" s="7" t="s">
        <v>37</v>
      </c>
      <c r="P24" s="7">
        <v>1</v>
      </c>
      <c r="Q24" s="7" t="s">
        <v>38</v>
      </c>
      <c r="R24" s="7" t="s">
        <v>52</v>
      </c>
      <c r="T24" s="7" t="s">
        <v>40</v>
      </c>
      <c r="U24" s="7" t="s">
        <v>41</v>
      </c>
      <c r="V24" s="7">
        <f>Z2/Z14</f>
        <v>4.1879046700647474E-2</v>
      </c>
      <c r="W24" s="7" t="s">
        <v>60</v>
      </c>
      <c r="X24" s="7" t="s">
        <v>53</v>
      </c>
      <c r="Y24" s="7" t="s">
        <v>43</v>
      </c>
      <c r="Z24" s="7">
        <f>Z14</f>
        <v>10888.5</v>
      </c>
    </row>
    <row r="25" spans="1:27" x14ac:dyDescent="0.25">
      <c r="A25" t="s">
        <v>59</v>
      </c>
      <c r="B25">
        <v>2025</v>
      </c>
      <c r="C25">
        <v>1</v>
      </c>
      <c r="D25" t="s">
        <v>31</v>
      </c>
      <c r="E25" t="s">
        <v>49</v>
      </c>
      <c r="F25" t="s">
        <v>50</v>
      </c>
      <c r="G25" t="s">
        <v>33</v>
      </c>
      <c r="H25" t="s">
        <v>32</v>
      </c>
      <c r="J25">
        <v>2024</v>
      </c>
      <c r="K25" t="s">
        <v>34</v>
      </c>
      <c r="L25" t="s">
        <v>35</v>
      </c>
      <c r="M25">
        <v>127160</v>
      </c>
      <c r="N25" t="s">
        <v>36</v>
      </c>
      <c r="O25" t="s">
        <v>37</v>
      </c>
      <c r="P25">
        <v>1</v>
      </c>
      <c r="Q25" t="s">
        <v>38</v>
      </c>
      <c r="R25" t="s">
        <v>39</v>
      </c>
      <c r="T25" t="s">
        <v>40</v>
      </c>
      <c r="U25" t="s">
        <v>41</v>
      </c>
      <c r="V25">
        <v>2.3996350197070956E-2</v>
      </c>
      <c r="W25" t="s">
        <v>60</v>
      </c>
      <c r="X25" t="s">
        <v>53</v>
      </c>
      <c r="Y25" t="s">
        <v>43</v>
      </c>
      <c r="Z25">
        <f>SUM(Z7)</f>
        <v>249986.1</v>
      </c>
    </row>
    <row r="26" spans="1:27" x14ac:dyDescent="0.25">
      <c r="A26" t="s">
        <v>59</v>
      </c>
      <c r="B26">
        <v>2025</v>
      </c>
      <c r="C26">
        <v>1</v>
      </c>
      <c r="D26" t="s">
        <v>31</v>
      </c>
      <c r="E26" t="s">
        <v>49</v>
      </c>
      <c r="F26" t="s">
        <v>50</v>
      </c>
      <c r="G26" t="s">
        <v>46</v>
      </c>
      <c r="H26" t="s">
        <v>32</v>
      </c>
      <c r="J26">
        <v>2024</v>
      </c>
      <c r="K26" t="s">
        <v>34</v>
      </c>
      <c r="L26" t="s">
        <v>35</v>
      </c>
      <c r="M26">
        <v>127160</v>
      </c>
      <c r="N26" t="s">
        <v>36</v>
      </c>
      <c r="O26" t="s">
        <v>47</v>
      </c>
      <c r="P26">
        <v>2024</v>
      </c>
      <c r="Q26" t="s">
        <v>38</v>
      </c>
      <c r="R26" t="s">
        <v>48</v>
      </c>
      <c r="T26" t="s">
        <v>40</v>
      </c>
      <c r="U26" t="s">
        <v>41</v>
      </c>
      <c r="V26">
        <v>5.7017641663284616E-2</v>
      </c>
      <c r="W26" t="s">
        <v>60</v>
      </c>
      <c r="X26" t="s">
        <v>53</v>
      </c>
      <c r="Y26" t="s">
        <v>43</v>
      </c>
      <c r="Z26">
        <f>SUM(Z8:Z8)</f>
        <v>672669</v>
      </c>
    </row>
    <row r="27" spans="1:27" x14ac:dyDescent="0.25">
      <c r="A27" t="s">
        <v>59</v>
      </c>
      <c r="B27">
        <v>2025</v>
      </c>
      <c r="C27">
        <v>1</v>
      </c>
      <c r="D27" t="s">
        <v>31</v>
      </c>
      <c r="E27" t="s">
        <v>49</v>
      </c>
      <c r="F27" t="s">
        <v>78</v>
      </c>
      <c r="G27" t="s">
        <v>84</v>
      </c>
      <c r="H27" t="s">
        <v>32</v>
      </c>
      <c r="J27">
        <v>2024</v>
      </c>
      <c r="K27" t="s">
        <v>34</v>
      </c>
      <c r="L27" t="s">
        <v>35</v>
      </c>
      <c r="M27">
        <v>127160</v>
      </c>
      <c r="N27" t="s">
        <v>36</v>
      </c>
      <c r="O27" t="s">
        <v>47</v>
      </c>
      <c r="P27">
        <v>2024</v>
      </c>
      <c r="Q27" t="s">
        <v>38</v>
      </c>
      <c r="R27" t="s">
        <v>39</v>
      </c>
      <c r="T27" t="s">
        <v>40</v>
      </c>
      <c r="U27" t="s">
        <v>41</v>
      </c>
      <c r="V27">
        <v>5.9766999524488829E-2</v>
      </c>
      <c r="W27" t="s">
        <v>60</v>
      </c>
      <c r="X27" t="s">
        <v>53</v>
      </c>
      <c r="Y27" t="s">
        <v>43</v>
      </c>
      <c r="Z27">
        <f>Z9</f>
        <v>210300</v>
      </c>
    </row>
    <row r="28" spans="1:27" s="7" customFormat="1" x14ac:dyDescent="0.25">
      <c r="A28" s="7" t="s">
        <v>59</v>
      </c>
      <c r="B28" s="7">
        <v>2025</v>
      </c>
      <c r="C28" s="7">
        <v>1</v>
      </c>
      <c r="D28" s="7" t="s">
        <v>31</v>
      </c>
      <c r="E28" s="7" t="s">
        <v>49</v>
      </c>
      <c r="F28" s="7" t="s">
        <v>78</v>
      </c>
      <c r="G28" s="7" t="s">
        <v>33</v>
      </c>
      <c r="H28" s="7" t="s">
        <v>32</v>
      </c>
      <c r="J28" s="7">
        <v>2024</v>
      </c>
      <c r="K28" s="7" t="s">
        <v>34</v>
      </c>
      <c r="L28" s="7" t="s">
        <v>35</v>
      </c>
      <c r="M28" s="7">
        <v>127160</v>
      </c>
      <c r="N28" s="7" t="s">
        <v>102</v>
      </c>
      <c r="O28" s="7" t="s">
        <v>37</v>
      </c>
      <c r="P28" s="7">
        <v>1</v>
      </c>
      <c r="Q28" s="7" t="s">
        <v>38</v>
      </c>
      <c r="R28" s="7" t="s">
        <v>52</v>
      </c>
      <c r="T28" s="7" t="s">
        <v>40</v>
      </c>
      <c r="U28" s="7" t="s">
        <v>41</v>
      </c>
      <c r="V28" s="7">
        <f>Z2/Z14</f>
        <v>4.1879046700647474E-2</v>
      </c>
      <c r="W28" s="7" t="s">
        <v>60</v>
      </c>
      <c r="X28" s="7" t="s">
        <v>53</v>
      </c>
      <c r="Y28" s="7" t="s">
        <v>43</v>
      </c>
      <c r="Z28" s="7">
        <f>Z14</f>
        <v>10888.5</v>
      </c>
    </row>
    <row r="32" spans="1:27" s="2" customFormat="1" x14ac:dyDescent="0.25">
      <c r="A32" s="1" t="s">
        <v>0</v>
      </c>
      <c r="B32" s="1" t="s">
        <v>8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6</v>
      </c>
      <c r="H32" s="1" t="s">
        <v>7</v>
      </c>
      <c r="I32" s="1" t="s">
        <v>83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1" t="s">
        <v>58</v>
      </c>
      <c r="W32" s="1" t="s">
        <v>56</v>
      </c>
      <c r="X32" s="1" t="s">
        <v>54</v>
      </c>
      <c r="Y32" s="1" t="s">
        <v>55</v>
      </c>
      <c r="Z32" s="1" t="s">
        <v>57</v>
      </c>
      <c r="AA32" s="1" t="s">
        <v>29</v>
      </c>
    </row>
    <row r="33" spans="1:26" s="7" customFormat="1" x14ac:dyDescent="0.25">
      <c r="A33" s="7" t="s">
        <v>59</v>
      </c>
      <c r="B33" s="7">
        <v>2025</v>
      </c>
      <c r="C33" s="7">
        <v>1</v>
      </c>
      <c r="D33" s="7" t="s">
        <v>31</v>
      </c>
      <c r="E33" s="7" t="s">
        <v>49</v>
      </c>
      <c r="F33" s="7" t="s">
        <v>50</v>
      </c>
      <c r="G33" s="7" t="s">
        <v>33</v>
      </c>
      <c r="H33" s="7" t="s">
        <v>32</v>
      </c>
      <c r="J33" s="7">
        <v>2024</v>
      </c>
      <c r="K33" s="7" t="s">
        <v>34</v>
      </c>
      <c r="L33" s="7" t="s">
        <v>35</v>
      </c>
      <c r="M33" s="7">
        <v>127160</v>
      </c>
      <c r="N33" s="7" t="s">
        <v>102</v>
      </c>
      <c r="O33" s="7" t="s">
        <v>37</v>
      </c>
      <c r="P33" s="7">
        <v>1</v>
      </c>
      <c r="Q33" s="7" t="s">
        <v>38</v>
      </c>
      <c r="R33" s="7" t="s">
        <v>52</v>
      </c>
      <c r="T33" s="7" t="s">
        <v>40</v>
      </c>
      <c r="U33" s="7" t="s">
        <v>41</v>
      </c>
      <c r="V33" s="7">
        <v>4.1879046700647474E-2</v>
      </c>
      <c r="W33" s="7" t="s">
        <v>60</v>
      </c>
      <c r="X33" s="7" t="s">
        <v>53</v>
      </c>
      <c r="Y33" s="7" t="s">
        <v>43</v>
      </c>
      <c r="Z33" s="7">
        <v>10888.5</v>
      </c>
    </row>
    <row r="34" spans="1:26" x14ac:dyDescent="0.25">
      <c r="A34" t="s">
        <v>59</v>
      </c>
      <c r="B34">
        <v>2025</v>
      </c>
      <c r="C34">
        <v>1</v>
      </c>
      <c r="D34" t="s">
        <v>31</v>
      </c>
      <c r="E34" t="s">
        <v>49</v>
      </c>
      <c r="F34" t="s">
        <v>50</v>
      </c>
      <c r="G34" t="s">
        <v>33</v>
      </c>
      <c r="H34" t="s">
        <v>32</v>
      </c>
      <c r="J34">
        <v>2024</v>
      </c>
      <c r="K34" t="s">
        <v>34</v>
      </c>
      <c r="L34" t="s">
        <v>35</v>
      </c>
      <c r="M34">
        <v>127160</v>
      </c>
      <c r="N34" t="s">
        <v>36</v>
      </c>
      <c r="O34" t="s">
        <v>37</v>
      </c>
      <c r="P34">
        <v>1</v>
      </c>
      <c r="Q34" t="s">
        <v>38</v>
      </c>
      <c r="R34" t="s">
        <v>39</v>
      </c>
      <c r="T34" t="s">
        <v>40</v>
      </c>
      <c r="U34" t="s">
        <v>41</v>
      </c>
      <c r="V34">
        <v>2.3996350197070956E-2</v>
      </c>
      <c r="W34" t="s">
        <v>60</v>
      </c>
      <c r="X34" t="s">
        <v>53</v>
      </c>
      <c r="Y34" t="s">
        <v>43</v>
      </c>
      <c r="Z34">
        <v>249986.1</v>
      </c>
    </row>
    <row r="35" spans="1:26" x14ac:dyDescent="0.25">
      <c r="A35" t="s">
        <v>59</v>
      </c>
      <c r="B35">
        <v>2025</v>
      </c>
      <c r="C35">
        <v>1</v>
      </c>
      <c r="D35" t="s">
        <v>31</v>
      </c>
      <c r="E35" t="s">
        <v>49</v>
      </c>
      <c r="F35" t="s">
        <v>50</v>
      </c>
      <c r="G35" t="s">
        <v>46</v>
      </c>
      <c r="H35" t="s">
        <v>32</v>
      </c>
      <c r="J35">
        <v>2024</v>
      </c>
      <c r="K35" t="s">
        <v>34</v>
      </c>
      <c r="L35" t="s">
        <v>35</v>
      </c>
      <c r="M35">
        <v>127160</v>
      </c>
      <c r="N35" t="s">
        <v>36</v>
      </c>
      <c r="O35" t="s">
        <v>47</v>
      </c>
      <c r="P35">
        <v>2024</v>
      </c>
      <c r="Q35" t="s">
        <v>38</v>
      </c>
      <c r="R35" t="s">
        <v>48</v>
      </c>
      <c r="T35" t="s">
        <v>40</v>
      </c>
      <c r="U35" t="s">
        <v>41</v>
      </c>
      <c r="V35">
        <v>5.7017641663284616E-2</v>
      </c>
      <c r="W35" t="s">
        <v>60</v>
      </c>
      <c r="X35" t="s">
        <v>53</v>
      </c>
      <c r="Y35" t="s">
        <v>43</v>
      </c>
      <c r="Z35">
        <v>672669</v>
      </c>
    </row>
    <row r="36" spans="1:26" x14ac:dyDescent="0.25">
      <c r="A36" t="s">
        <v>59</v>
      </c>
      <c r="B36">
        <v>2025</v>
      </c>
      <c r="C36">
        <v>1</v>
      </c>
      <c r="D36" t="s">
        <v>31</v>
      </c>
      <c r="E36" t="s">
        <v>49</v>
      </c>
      <c r="F36" t="s">
        <v>78</v>
      </c>
      <c r="G36" t="s">
        <v>84</v>
      </c>
      <c r="H36" t="s">
        <v>32</v>
      </c>
      <c r="J36">
        <v>2024</v>
      </c>
      <c r="K36" t="s">
        <v>34</v>
      </c>
      <c r="L36" t="s">
        <v>35</v>
      </c>
      <c r="M36">
        <v>127160</v>
      </c>
      <c r="N36" t="s">
        <v>36</v>
      </c>
      <c r="O36" t="s">
        <v>47</v>
      </c>
      <c r="P36">
        <v>2024</v>
      </c>
      <c r="Q36" t="s">
        <v>38</v>
      </c>
      <c r="R36" t="s">
        <v>39</v>
      </c>
      <c r="T36" t="s">
        <v>40</v>
      </c>
      <c r="U36" t="s">
        <v>41</v>
      </c>
      <c r="V36">
        <v>5.9766999524488829E-2</v>
      </c>
      <c r="W36" t="s">
        <v>60</v>
      </c>
      <c r="X36" t="s">
        <v>36</v>
      </c>
      <c r="Y36" t="s">
        <v>43</v>
      </c>
      <c r="Z36">
        <f>Z5</f>
        <v>12569</v>
      </c>
    </row>
    <row r="37" spans="1:26" s="7" customFormat="1" x14ac:dyDescent="0.25">
      <c r="A37" s="7" t="s">
        <v>59</v>
      </c>
      <c r="B37" s="7">
        <v>2025</v>
      </c>
      <c r="C37" s="7">
        <v>1</v>
      </c>
      <c r="D37" s="7" t="s">
        <v>31</v>
      </c>
      <c r="E37" s="7" t="s">
        <v>49</v>
      </c>
      <c r="F37" s="7" t="s">
        <v>78</v>
      </c>
      <c r="G37" s="7" t="s">
        <v>33</v>
      </c>
      <c r="H37" s="7" t="s">
        <v>32</v>
      </c>
      <c r="J37" s="7">
        <v>2024</v>
      </c>
      <c r="K37" s="7" t="s">
        <v>34</v>
      </c>
      <c r="L37" s="7" t="s">
        <v>35</v>
      </c>
      <c r="M37" s="7">
        <v>127160</v>
      </c>
      <c r="N37" s="7" t="s">
        <v>102</v>
      </c>
      <c r="O37" s="7" t="s">
        <v>37</v>
      </c>
      <c r="P37" s="7">
        <v>1</v>
      </c>
      <c r="Q37" s="7" t="s">
        <v>38</v>
      </c>
      <c r="R37" s="7" t="s">
        <v>52</v>
      </c>
      <c r="T37" s="7" t="s">
        <v>40</v>
      </c>
      <c r="U37" s="7" t="s">
        <v>41</v>
      </c>
      <c r="V37" s="7">
        <v>4.1879046700647474E-2</v>
      </c>
      <c r="W37" s="7" t="s">
        <v>60</v>
      </c>
      <c r="X37" s="7" t="s">
        <v>102</v>
      </c>
      <c r="Y37" s="7" t="s">
        <v>43</v>
      </c>
      <c r="Z37" s="7">
        <f>Z2</f>
        <v>456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3DB7-3729-46A8-AD37-30B525E5F20B}">
  <sheetPr>
    <tabColor rgb="FFFFC000"/>
  </sheetPr>
  <dimension ref="A1:AZ217"/>
  <sheetViews>
    <sheetView zoomScale="60" zoomScaleNormal="60" workbookViewId="0">
      <selection activeCell="B2" sqref="B2:D2"/>
    </sheetView>
  </sheetViews>
  <sheetFormatPr defaultRowHeight="15" x14ac:dyDescent="0.25"/>
  <cols>
    <col min="1" max="1" width="15.140625" customWidth="1"/>
    <col min="2" max="2" width="24" customWidth="1"/>
    <col min="3" max="3" width="10.7109375" customWidth="1"/>
    <col min="4" max="4" width="34" customWidth="1"/>
    <col min="5" max="5" width="46.5703125" customWidth="1"/>
    <col min="6" max="6" width="47.28515625" customWidth="1"/>
    <col min="7" max="7" width="54" customWidth="1"/>
    <col min="8" max="8" width="30" customWidth="1"/>
    <col min="9" max="9" width="44.140625" bestFit="1" customWidth="1"/>
    <col min="10" max="10" width="22.7109375" bestFit="1" customWidth="1"/>
    <col min="11" max="11" width="25.42578125" customWidth="1"/>
    <col min="12" max="12" width="42.85546875" bestFit="1" customWidth="1"/>
    <col min="13" max="13" width="22.7109375" bestFit="1" customWidth="1"/>
    <col min="14" max="14" width="26.28515625" customWidth="1"/>
    <col min="15" max="15" width="17.42578125" bestFit="1" customWidth="1"/>
    <col min="16" max="16" width="19.28515625" bestFit="1" customWidth="1"/>
    <col min="17" max="17" width="18.7109375" bestFit="1" customWidth="1"/>
    <col min="18" max="18" width="17.7109375" bestFit="1" customWidth="1"/>
    <col min="19" max="19" width="16.7109375" bestFit="1" customWidth="1"/>
    <col min="20" max="20" width="23.85546875" customWidth="1"/>
    <col min="21" max="21" width="32.7109375" bestFit="1" customWidth="1"/>
    <col min="22" max="22" width="34.140625" customWidth="1"/>
    <col min="23" max="23" width="26.42578125" bestFit="1" customWidth="1"/>
    <col min="24" max="24" width="27.5703125" bestFit="1" customWidth="1"/>
    <col min="25" max="25" width="40.42578125" bestFit="1" customWidth="1"/>
    <col min="26" max="26" width="48" customWidth="1"/>
    <col min="27" max="27" width="40.5703125" customWidth="1"/>
    <col min="28" max="30" width="28" customWidth="1"/>
    <col min="31" max="31" width="24.7109375" customWidth="1"/>
    <col min="32" max="32" width="23.5703125" customWidth="1"/>
    <col min="33" max="33" width="18.7109375" customWidth="1"/>
    <col min="34" max="34" width="27.28515625" customWidth="1"/>
    <col min="35" max="35" width="32" bestFit="1" customWidth="1"/>
    <col min="36" max="36" width="32.42578125" customWidth="1"/>
    <col min="37" max="37" width="19.28515625" bestFit="1" customWidth="1"/>
    <col min="38" max="38" width="28.7109375" customWidth="1"/>
    <col min="39" max="39" width="13.7109375" bestFit="1" customWidth="1"/>
    <col min="40" max="40" width="12" bestFit="1" customWidth="1"/>
    <col min="41" max="41" width="16.28515625" customWidth="1"/>
    <col min="42" max="42" width="11" bestFit="1" customWidth="1"/>
    <col min="43" max="43" width="13.7109375" bestFit="1" customWidth="1"/>
    <col min="44" max="44" width="13.28515625" bestFit="1" customWidth="1"/>
    <col min="45" max="45" width="25.42578125" bestFit="1" customWidth="1"/>
    <col min="46" max="46" width="16.28515625" customWidth="1"/>
    <col min="47" max="47" width="17.85546875" bestFit="1" customWidth="1"/>
    <col min="48" max="48" width="15.28515625" bestFit="1" customWidth="1"/>
    <col min="49" max="49" width="11.28515625" bestFit="1" customWidth="1"/>
    <col min="50" max="50" width="13.140625" bestFit="1" customWidth="1"/>
    <col min="51" max="51" width="9.7109375" bestFit="1" customWidth="1"/>
    <col min="52" max="52" width="12" bestFit="1" customWidth="1"/>
  </cols>
  <sheetData>
    <row r="1" spans="1:44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25">
      <c r="A2" t="s">
        <v>72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25">
      <c r="A3" t="s">
        <v>72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25">
      <c r="A4" t="s">
        <v>72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25">
      <c r="A5" t="s">
        <v>72</v>
      </c>
      <c r="B5">
        <v>2025</v>
      </c>
      <c r="C5">
        <v>1</v>
      </c>
      <c r="D5" t="s">
        <v>31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25">
      <c r="A6" t="s">
        <v>72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25">
      <c r="A7" t="s">
        <v>72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25">
      <c r="A8" t="s">
        <v>72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25">
      <c r="A9" t="s">
        <v>72</v>
      </c>
      <c r="B9">
        <v>2025</v>
      </c>
      <c r="C9">
        <v>1</v>
      </c>
      <c r="D9" t="s">
        <v>31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25">
      <c r="A10" t="s">
        <v>72</v>
      </c>
      <c r="B10">
        <v>2025</v>
      </c>
      <c r="C10">
        <v>1</v>
      </c>
      <c r="D10" t="s">
        <v>31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25">
      <c r="A11" t="s">
        <v>72</v>
      </c>
      <c r="B11">
        <v>2025</v>
      </c>
      <c r="C11">
        <v>1</v>
      </c>
      <c r="D11" t="s">
        <v>31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25">
      <c r="A12" t="s">
        <v>72</v>
      </c>
      <c r="B12">
        <v>2025</v>
      </c>
      <c r="C12">
        <v>1</v>
      </c>
      <c r="D12" t="s">
        <v>31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25">
      <c r="A13" t="s">
        <v>72</v>
      </c>
      <c r="B13">
        <v>2025</v>
      </c>
      <c r="C13">
        <v>1</v>
      </c>
      <c r="D13" t="s">
        <v>31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25">
      <c r="A14" t="s">
        <v>72</v>
      </c>
      <c r="B14">
        <v>2025</v>
      </c>
      <c r="C14">
        <v>1</v>
      </c>
      <c r="D14" t="s">
        <v>31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25">
      <c r="A15" t="s">
        <v>72</v>
      </c>
      <c r="B15">
        <v>2025</v>
      </c>
      <c r="C15">
        <v>1</v>
      </c>
      <c r="D15" t="s">
        <v>31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25">
      <c r="A16" t="s">
        <v>72</v>
      </c>
      <c r="B16">
        <v>2025</v>
      </c>
      <c r="C16">
        <v>1</v>
      </c>
      <c r="D16" t="s">
        <v>31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25">
      <c r="A17" t="s">
        <v>72</v>
      </c>
      <c r="B17">
        <v>2025</v>
      </c>
      <c r="C17">
        <v>1</v>
      </c>
      <c r="D17" t="s">
        <v>31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25">
      <c r="A18" t="s">
        <v>72</v>
      </c>
      <c r="B18">
        <v>2025</v>
      </c>
      <c r="C18">
        <v>1</v>
      </c>
      <c r="D18" t="s">
        <v>31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25">
      <c r="A19" t="s">
        <v>72</v>
      </c>
      <c r="B19">
        <v>2025</v>
      </c>
      <c r="C19">
        <v>1</v>
      </c>
      <c r="D19" t="s">
        <v>31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25">
      <c r="A20" t="s">
        <v>72</v>
      </c>
      <c r="B20">
        <v>2025</v>
      </c>
      <c r="C20">
        <v>1</v>
      </c>
      <c r="D20" t="s">
        <v>31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25">
      <c r="A21" t="s">
        <v>72</v>
      </c>
      <c r="B21">
        <v>2025</v>
      </c>
      <c r="C21">
        <v>1</v>
      </c>
      <c r="D21" t="s">
        <v>31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25">
      <c r="A22" t="s">
        <v>72</v>
      </c>
      <c r="B22">
        <v>2025</v>
      </c>
      <c r="C22">
        <v>1</v>
      </c>
      <c r="D22" t="s">
        <v>31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25">
      <c r="A23" t="s">
        <v>72</v>
      </c>
      <c r="B23">
        <v>2025</v>
      </c>
      <c r="C23">
        <v>1</v>
      </c>
      <c r="D23" t="s">
        <v>31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25">
      <c r="A24" t="s">
        <v>72</v>
      </c>
      <c r="B24">
        <v>2025</v>
      </c>
      <c r="C24">
        <v>1</v>
      </c>
      <c r="D24" t="s">
        <v>31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25">
      <c r="A25" t="s">
        <v>72</v>
      </c>
      <c r="B25">
        <v>2025</v>
      </c>
      <c r="C25">
        <v>1</v>
      </c>
      <c r="D25" t="s">
        <v>31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25">
      <c r="A26" t="s">
        <v>72</v>
      </c>
      <c r="B26">
        <v>2025</v>
      </c>
      <c r="C26">
        <v>1</v>
      </c>
      <c r="D26" t="s">
        <v>31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25">
      <c r="A27" t="s">
        <v>72</v>
      </c>
      <c r="B27">
        <v>2025</v>
      </c>
      <c r="C27">
        <v>1</v>
      </c>
      <c r="D27" t="s">
        <v>31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25">
      <c r="A28" t="s">
        <v>72</v>
      </c>
      <c r="B28">
        <v>2025</v>
      </c>
      <c r="C28">
        <v>1</v>
      </c>
      <c r="D28" t="s">
        <v>31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25">
      <c r="A29" t="s">
        <v>72</v>
      </c>
      <c r="B29">
        <v>2025</v>
      </c>
      <c r="C29">
        <v>1</v>
      </c>
      <c r="D29" t="s">
        <v>31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25">
      <c r="A30" t="s">
        <v>72</v>
      </c>
      <c r="B30">
        <v>2025</v>
      </c>
      <c r="C30">
        <v>1</v>
      </c>
      <c r="D30" t="s">
        <v>31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25">
      <c r="A31" t="s">
        <v>72</v>
      </c>
      <c r="B31">
        <v>2025</v>
      </c>
      <c r="C31">
        <v>1</v>
      </c>
      <c r="D31" t="s">
        <v>31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25">
      <c r="A32" t="s">
        <v>72</v>
      </c>
      <c r="B32">
        <v>2025</v>
      </c>
      <c r="C32">
        <v>1</v>
      </c>
      <c r="D32" t="s">
        <v>31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25">
      <c r="A33" t="s">
        <v>72</v>
      </c>
      <c r="B33">
        <v>2025</v>
      </c>
      <c r="C33">
        <v>1</v>
      </c>
      <c r="D33" t="s">
        <v>31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25">
      <c r="A34" t="s">
        <v>72</v>
      </c>
      <c r="B34">
        <v>2025</v>
      </c>
      <c r="C34">
        <v>1</v>
      </c>
      <c r="D34" t="s">
        <v>31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25">
      <c r="A35" t="s">
        <v>72</v>
      </c>
      <c r="B35">
        <v>2025</v>
      </c>
      <c r="C35">
        <v>1</v>
      </c>
      <c r="D35" t="s">
        <v>31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25">
      <c r="A36" t="s">
        <v>72</v>
      </c>
      <c r="B36">
        <v>2025</v>
      </c>
      <c r="C36">
        <v>1</v>
      </c>
      <c r="D36" t="s">
        <v>31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25">
      <c r="A37" t="s">
        <v>72</v>
      </c>
      <c r="B37">
        <v>2025</v>
      </c>
      <c r="C37">
        <v>1</v>
      </c>
      <c r="D37" t="s">
        <v>31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25">
      <c r="A38" t="s">
        <v>72</v>
      </c>
      <c r="B38">
        <v>2025</v>
      </c>
      <c r="C38">
        <v>1</v>
      </c>
      <c r="D38" t="s">
        <v>31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25">
      <c r="A39" t="s">
        <v>72</v>
      </c>
      <c r="B39">
        <v>2025</v>
      </c>
      <c r="C39">
        <v>1</v>
      </c>
      <c r="D39" t="s">
        <v>31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25">
      <c r="A40" t="s">
        <v>72</v>
      </c>
      <c r="B40">
        <v>2025</v>
      </c>
      <c r="C40">
        <v>1</v>
      </c>
      <c r="D40" t="s">
        <v>31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25">
      <c r="A41" t="s">
        <v>72</v>
      </c>
      <c r="B41">
        <v>2025</v>
      </c>
      <c r="C41">
        <v>1</v>
      </c>
      <c r="D41" t="s">
        <v>31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25">
      <c r="A42" t="s">
        <v>72</v>
      </c>
      <c r="B42">
        <v>2025</v>
      </c>
      <c r="C42">
        <v>1</v>
      </c>
      <c r="D42" t="s">
        <v>31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25">
      <c r="A43" t="s">
        <v>72</v>
      </c>
      <c r="B43">
        <v>2025</v>
      </c>
      <c r="C43">
        <v>1</v>
      </c>
      <c r="D43" t="s">
        <v>31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25">
      <c r="A44" t="s">
        <v>72</v>
      </c>
      <c r="B44">
        <v>2025</v>
      </c>
      <c r="C44">
        <v>1</v>
      </c>
      <c r="D44" t="s">
        <v>31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523.418731364515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1.6457259984233616</v>
      </c>
    </row>
    <row r="45" spans="1:36" x14ac:dyDescent="0.25">
      <c r="A45" t="s">
        <v>72</v>
      </c>
      <c r="B45">
        <v>2025</v>
      </c>
      <c r="C45">
        <v>1</v>
      </c>
      <c r="D45" t="s">
        <v>31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523.418731364515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2.4049650259128996</v>
      </c>
    </row>
    <row r="46" spans="1:36" x14ac:dyDescent="0.25">
      <c r="A46" t="s">
        <v>72</v>
      </c>
      <c r="B46">
        <v>2025</v>
      </c>
      <c r="C46">
        <v>1</v>
      </c>
      <c r="D46" t="s">
        <v>31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523.418731364515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0.77081447567769235</v>
      </c>
    </row>
    <row r="47" spans="1:36" x14ac:dyDescent="0.25">
      <c r="A47" t="s">
        <v>72</v>
      </c>
      <c r="B47">
        <v>2025</v>
      </c>
      <c r="C47">
        <v>1</v>
      </c>
      <c r="D47" t="s">
        <v>31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523.418731364515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8.9411303482519937</v>
      </c>
    </row>
    <row r="48" spans="1:36" x14ac:dyDescent="0.25">
      <c r="A48" t="s">
        <v>72</v>
      </c>
      <c r="B48">
        <v>2025</v>
      </c>
      <c r="C48">
        <v>1</v>
      </c>
      <c r="D48" t="s">
        <v>31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523.418731364515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13.240341575382008</v>
      </c>
    </row>
    <row r="49" spans="1:36" x14ac:dyDescent="0.25">
      <c r="A49" t="s">
        <v>72</v>
      </c>
      <c r="B49">
        <v>2025</v>
      </c>
      <c r="C49">
        <v>1</v>
      </c>
      <c r="D49" t="s">
        <v>31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523.418731364515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13.129486355428321</v>
      </c>
    </row>
    <row r="50" spans="1:36" x14ac:dyDescent="0.25">
      <c r="A50" t="s">
        <v>72</v>
      </c>
      <c r="B50">
        <v>2025</v>
      </c>
      <c r="C50">
        <v>1</v>
      </c>
      <c r="D50" t="s">
        <v>31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523.418731364515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18.967528467041134</v>
      </c>
    </row>
    <row r="51" spans="1:36" x14ac:dyDescent="0.25">
      <c r="A51" t="s">
        <v>72</v>
      </c>
      <c r="B51">
        <v>2025</v>
      </c>
      <c r="C51">
        <v>1</v>
      </c>
      <c r="D51" t="s">
        <v>31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523.418731364515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25">
      <c r="A52" t="s">
        <v>72</v>
      </c>
      <c r="B52">
        <v>2025</v>
      </c>
      <c r="C52">
        <v>1</v>
      </c>
      <c r="D52" t="s">
        <v>31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523.418731364515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25">
      <c r="A53" t="s">
        <v>72</v>
      </c>
      <c r="B53">
        <v>2025</v>
      </c>
      <c r="C53">
        <v>1</v>
      </c>
      <c r="D53" t="s">
        <v>31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523.418731364515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25">
      <c r="A54" t="s">
        <v>72</v>
      </c>
      <c r="B54">
        <v>2025</v>
      </c>
      <c r="C54">
        <v>1</v>
      </c>
      <c r="D54" t="s">
        <v>31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523.418731364515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25">
      <c r="A55" t="s">
        <v>72</v>
      </c>
      <c r="B55">
        <v>2025</v>
      </c>
      <c r="C55">
        <v>1</v>
      </c>
      <c r="D55" t="s">
        <v>31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523.418731364515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25">
      <c r="A56" t="s">
        <v>72</v>
      </c>
      <c r="B56">
        <v>2025</v>
      </c>
      <c r="C56">
        <v>1</v>
      </c>
      <c r="D56" t="s">
        <v>31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523.418731364515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25">
      <c r="A57" t="s">
        <v>72</v>
      </c>
      <c r="B57">
        <v>2025</v>
      </c>
      <c r="C57">
        <v>1</v>
      </c>
      <c r="D57" t="s">
        <v>31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523.418731364515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25">
      <c r="A58" t="s">
        <v>72</v>
      </c>
      <c r="B58">
        <v>2025</v>
      </c>
      <c r="C58">
        <v>1</v>
      </c>
      <c r="D58" t="s">
        <v>31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25">
      <c r="A59" t="s">
        <v>72</v>
      </c>
      <c r="B59">
        <v>2025</v>
      </c>
      <c r="C59">
        <v>1</v>
      </c>
      <c r="D59" t="s">
        <v>31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25">
      <c r="A60" t="s">
        <v>72</v>
      </c>
      <c r="B60">
        <v>2025</v>
      </c>
      <c r="C60">
        <v>1</v>
      </c>
      <c r="D60" t="s">
        <v>31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25">
      <c r="A61" t="s">
        <v>72</v>
      </c>
      <c r="B61">
        <v>2025</v>
      </c>
      <c r="C61">
        <v>1</v>
      </c>
      <c r="D61" t="s">
        <v>31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25">
      <c r="A62" t="s">
        <v>72</v>
      </c>
      <c r="B62">
        <v>2025</v>
      </c>
      <c r="C62">
        <v>1</v>
      </c>
      <c r="D62" t="s">
        <v>31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25">
      <c r="A63" t="s">
        <v>72</v>
      </c>
      <c r="B63">
        <v>2025</v>
      </c>
      <c r="C63">
        <v>1</v>
      </c>
      <c r="D63" t="s">
        <v>31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25">
      <c r="A64" t="s">
        <v>72</v>
      </c>
      <c r="B64">
        <v>2025</v>
      </c>
      <c r="C64">
        <v>1</v>
      </c>
      <c r="D64" t="s">
        <v>31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25">
      <c r="A65" t="s">
        <v>72</v>
      </c>
      <c r="B65">
        <v>2025</v>
      </c>
      <c r="C65">
        <v>1</v>
      </c>
      <c r="D65" t="s">
        <v>31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25">
      <c r="A66" t="s">
        <v>72</v>
      </c>
      <c r="B66">
        <v>2025</v>
      </c>
      <c r="C66">
        <v>1</v>
      </c>
      <c r="D66" t="s">
        <v>31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25">
      <c r="A67" t="s">
        <v>72</v>
      </c>
      <c r="B67">
        <v>2025</v>
      </c>
      <c r="C67">
        <v>1</v>
      </c>
      <c r="D67" t="s">
        <v>31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25">
      <c r="A68" t="s">
        <v>72</v>
      </c>
      <c r="B68">
        <v>2025</v>
      </c>
      <c r="C68">
        <v>1</v>
      </c>
      <c r="D68" t="s">
        <v>31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25">
      <c r="A69" t="s">
        <v>72</v>
      </c>
      <c r="B69">
        <v>2025</v>
      </c>
      <c r="C69">
        <v>1</v>
      </c>
      <c r="D69" t="s">
        <v>31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25">
      <c r="A70" t="s">
        <v>72</v>
      </c>
      <c r="B70">
        <v>2025</v>
      </c>
      <c r="C70">
        <v>1</v>
      </c>
      <c r="D70" t="s">
        <v>31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25">
      <c r="A71" t="s">
        <v>72</v>
      </c>
      <c r="B71">
        <v>2025</v>
      </c>
      <c r="C71">
        <v>1</v>
      </c>
      <c r="D71" t="s">
        <v>31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25">
      <c r="A72" t="s">
        <v>72</v>
      </c>
      <c r="B72">
        <v>2025</v>
      </c>
      <c r="C72">
        <v>1</v>
      </c>
      <c r="D72" t="s">
        <v>31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206.82454807327201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0.65029490822578895</v>
      </c>
    </row>
    <row r="73" spans="1:36" x14ac:dyDescent="0.25">
      <c r="A73" t="s">
        <v>72</v>
      </c>
      <c r="B73">
        <v>2025</v>
      </c>
      <c r="C73">
        <v>1</v>
      </c>
      <c r="D73" t="s">
        <v>31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206.82454807327201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0.95030188033156404</v>
      </c>
    </row>
    <row r="74" spans="1:36" x14ac:dyDescent="0.25">
      <c r="A74" t="s">
        <v>72</v>
      </c>
      <c r="B74">
        <v>2025</v>
      </c>
      <c r="C74">
        <v>1</v>
      </c>
      <c r="D74" t="s">
        <v>31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206.82454807327201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0.30458091395539022</v>
      </c>
    </row>
    <row r="75" spans="1:36" x14ac:dyDescent="0.25">
      <c r="A75" t="s">
        <v>72</v>
      </c>
      <c r="B75">
        <v>2025</v>
      </c>
      <c r="C75">
        <v>1</v>
      </c>
      <c r="D75" t="s">
        <v>31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206.82454807327201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3.5330131168989434</v>
      </c>
    </row>
    <row r="76" spans="1:36" x14ac:dyDescent="0.25">
      <c r="A76" t="s">
        <v>72</v>
      </c>
      <c r="B76">
        <v>2025</v>
      </c>
      <c r="C76">
        <v>1</v>
      </c>
      <c r="D76" t="s">
        <v>31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206.82454807327201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5.2318105917326534</v>
      </c>
    </row>
    <row r="77" spans="1:36" x14ac:dyDescent="0.25">
      <c r="A77" t="s">
        <v>72</v>
      </c>
      <c r="B77">
        <v>2025</v>
      </c>
      <c r="C77">
        <v>1</v>
      </c>
      <c r="D77" t="s">
        <v>31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206.82454807327201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5.1880070757432399</v>
      </c>
    </row>
    <row r="78" spans="1:36" x14ac:dyDescent="0.25">
      <c r="A78" t="s">
        <v>72</v>
      </c>
      <c r="B78">
        <v>2025</v>
      </c>
      <c r="C78">
        <v>1</v>
      </c>
      <c r="D78" t="s">
        <v>31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206.82454807327201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7.4948607456898895</v>
      </c>
    </row>
    <row r="79" spans="1:36" x14ac:dyDescent="0.25">
      <c r="A79" t="s">
        <v>72</v>
      </c>
      <c r="B79">
        <v>2025</v>
      </c>
      <c r="C79">
        <v>1</v>
      </c>
      <c r="D79" t="s">
        <v>31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206.82454807327201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25">
      <c r="A80" t="s">
        <v>72</v>
      </c>
      <c r="B80">
        <v>2025</v>
      </c>
      <c r="C80">
        <v>1</v>
      </c>
      <c r="D80" t="s">
        <v>31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206.82454807327201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25">
      <c r="A81" t="s">
        <v>72</v>
      </c>
      <c r="B81">
        <v>2025</v>
      </c>
      <c r="C81">
        <v>1</v>
      </c>
      <c r="D81" t="s">
        <v>31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206.82454807327201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25">
      <c r="A82" t="s">
        <v>72</v>
      </c>
      <c r="B82">
        <v>2025</v>
      </c>
      <c r="C82">
        <v>1</v>
      </c>
      <c r="D82" t="s">
        <v>31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206.82454807327201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25">
      <c r="A83" t="s">
        <v>72</v>
      </c>
      <c r="B83">
        <v>2025</v>
      </c>
      <c r="C83">
        <v>1</v>
      </c>
      <c r="D83" t="s">
        <v>31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206.82454807327201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25">
      <c r="A84" t="s">
        <v>72</v>
      </c>
      <c r="B84">
        <v>2025</v>
      </c>
      <c r="C84">
        <v>1</v>
      </c>
      <c r="D84" t="s">
        <v>31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206.82454807327201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25">
      <c r="A85" t="s">
        <v>72</v>
      </c>
      <c r="B85">
        <v>2025</v>
      </c>
      <c r="C85">
        <v>1</v>
      </c>
      <c r="D85" t="s">
        <v>31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206.82454807327201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25">
      <c r="A86" t="s">
        <v>72</v>
      </c>
      <c r="B86">
        <v>2025</v>
      </c>
      <c r="C86">
        <v>1</v>
      </c>
      <c r="D86" t="s">
        <v>31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1819.45994532345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5.7207210129884736</v>
      </c>
    </row>
    <row r="87" spans="1:36" x14ac:dyDescent="0.25">
      <c r="A87" t="s">
        <v>72</v>
      </c>
      <c r="B87">
        <v>2025</v>
      </c>
      <c r="C87">
        <v>1</v>
      </c>
      <c r="D87" t="s">
        <v>31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1819.45994532345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8.3599177338286328</v>
      </c>
    </row>
    <row r="88" spans="1:36" x14ac:dyDescent="0.25">
      <c r="A88" t="s">
        <v>72</v>
      </c>
      <c r="B88">
        <v>2025</v>
      </c>
      <c r="C88">
        <v>1</v>
      </c>
      <c r="D88" t="s">
        <v>31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1819.45994532345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2.6794342268090596</v>
      </c>
    </row>
    <row r="89" spans="1:36" x14ac:dyDescent="0.25">
      <c r="A89" t="s">
        <v>72</v>
      </c>
      <c r="B89">
        <v>2025</v>
      </c>
      <c r="C89">
        <v>1</v>
      </c>
      <c r="D89" t="s">
        <v>31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1819.45994532345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31.080333124782964</v>
      </c>
    </row>
    <row r="90" spans="1:36" x14ac:dyDescent="0.25">
      <c r="A90" t="s">
        <v>72</v>
      </c>
      <c r="B90">
        <v>2025</v>
      </c>
      <c r="C90">
        <v>1</v>
      </c>
      <c r="D90" t="s">
        <v>31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1819.45994532345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46.024854892003468</v>
      </c>
    </row>
    <row r="91" spans="1:36" x14ac:dyDescent="0.25">
      <c r="A91" t="s">
        <v>72</v>
      </c>
      <c r="B91">
        <v>2025</v>
      </c>
      <c r="C91">
        <v>1</v>
      </c>
      <c r="D91" t="s">
        <v>31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1819.45994532345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45.639510195014999</v>
      </c>
    </row>
    <row r="92" spans="1:36" x14ac:dyDescent="0.25">
      <c r="A92" t="s">
        <v>72</v>
      </c>
      <c r="B92">
        <v>2025</v>
      </c>
      <c r="C92">
        <v>1</v>
      </c>
      <c r="D92" t="s">
        <v>31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1819.45994532345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65.933174033716455</v>
      </c>
    </row>
    <row r="93" spans="1:36" x14ac:dyDescent="0.25">
      <c r="A93" t="s">
        <v>72</v>
      </c>
      <c r="B93">
        <v>2025</v>
      </c>
      <c r="C93">
        <v>1</v>
      </c>
      <c r="D93" t="s">
        <v>31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1819.45994532345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25">
      <c r="A94" t="s">
        <v>72</v>
      </c>
      <c r="B94">
        <v>2025</v>
      </c>
      <c r="C94">
        <v>1</v>
      </c>
      <c r="D94" t="s">
        <v>31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1819.45994532345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25">
      <c r="A95" t="s">
        <v>72</v>
      </c>
      <c r="B95">
        <v>2025</v>
      </c>
      <c r="C95">
        <v>1</v>
      </c>
      <c r="D95" t="s">
        <v>31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1819.45994532345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25">
      <c r="A96" t="s">
        <v>72</v>
      </c>
      <c r="B96">
        <v>2025</v>
      </c>
      <c r="C96">
        <v>1</v>
      </c>
      <c r="D96" t="s">
        <v>31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1819.45994532345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25">
      <c r="A97" t="s">
        <v>72</v>
      </c>
      <c r="B97">
        <v>2025</v>
      </c>
      <c r="C97">
        <v>1</v>
      </c>
      <c r="D97" t="s">
        <v>31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1819.45994532345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25">
      <c r="A98" t="s">
        <v>72</v>
      </c>
      <c r="B98">
        <v>2025</v>
      </c>
      <c r="C98">
        <v>1</v>
      </c>
      <c r="D98" t="s">
        <v>31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1819.45994532345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25">
      <c r="A99" t="s">
        <v>72</v>
      </c>
      <c r="B99">
        <v>2025</v>
      </c>
      <c r="C99">
        <v>1</v>
      </c>
      <c r="D99" t="s">
        <v>31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1819.45994532345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25">
      <c r="A100" t="s">
        <v>72</v>
      </c>
      <c r="B100">
        <v>2025</v>
      </c>
      <c r="C100">
        <v>1</v>
      </c>
      <c r="D100" t="s">
        <v>31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25">
      <c r="A101" t="s">
        <v>72</v>
      </c>
      <c r="B101">
        <v>2025</v>
      </c>
      <c r="C101">
        <v>1</v>
      </c>
      <c r="D101" t="s">
        <v>31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25">
      <c r="A102" t="s">
        <v>72</v>
      </c>
      <c r="B102">
        <v>2025</v>
      </c>
      <c r="C102">
        <v>1</v>
      </c>
      <c r="D102" t="s">
        <v>31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25">
      <c r="A103" t="s">
        <v>72</v>
      </c>
      <c r="B103">
        <v>2025</v>
      </c>
      <c r="C103">
        <v>1</v>
      </c>
      <c r="D103" t="s">
        <v>31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25">
      <c r="A104" t="s">
        <v>72</v>
      </c>
      <c r="B104">
        <v>2025</v>
      </c>
      <c r="C104">
        <v>1</v>
      </c>
      <c r="D104" t="s">
        <v>31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25">
      <c r="A105" t="s">
        <v>72</v>
      </c>
      <c r="B105">
        <v>2025</v>
      </c>
      <c r="C105">
        <v>1</v>
      </c>
      <c r="D105" t="s">
        <v>31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25">
      <c r="A106" t="s">
        <v>72</v>
      </c>
      <c r="B106">
        <v>2025</v>
      </c>
      <c r="C106">
        <v>1</v>
      </c>
      <c r="D106" t="s">
        <v>31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25">
      <c r="A107" t="s">
        <v>72</v>
      </c>
      <c r="B107">
        <v>2025</v>
      </c>
      <c r="C107">
        <v>1</v>
      </c>
      <c r="D107" t="s">
        <v>31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25">
      <c r="A108" t="s">
        <v>72</v>
      </c>
      <c r="B108">
        <v>2025</v>
      </c>
      <c r="C108">
        <v>1</v>
      </c>
      <c r="D108" t="s">
        <v>31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25">
      <c r="A109" t="s">
        <v>72</v>
      </c>
      <c r="B109">
        <v>2025</v>
      </c>
      <c r="C109">
        <v>1</v>
      </c>
      <c r="D109" t="s">
        <v>31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25">
      <c r="A110" t="s">
        <v>72</v>
      </c>
      <c r="B110">
        <v>2025</v>
      </c>
      <c r="C110">
        <v>1</v>
      </c>
      <c r="D110" t="s">
        <v>31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25">
      <c r="A111" t="s">
        <v>72</v>
      </c>
      <c r="B111">
        <v>2025</v>
      </c>
      <c r="C111">
        <v>1</v>
      </c>
      <c r="D111" t="s">
        <v>31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25">
      <c r="A112" t="s">
        <v>72</v>
      </c>
      <c r="B112">
        <v>2025</v>
      </c>
      <c r="C112">
        <v>1</v>
      </c>
      <c r="D112" t="s">
        <v>31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25">
      <c r="A113" t="s">
        <v>72</v>
      </c>
      <c r="B113">
        <v>2025</v>
      </c>
      <c r="C113">
        <v>1</v>
      </c>
      <c r="D113" t="s">
        <v>31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25">
      <c r="A114" t="s">
        <v>72</v>
      </c>
      <c r="B114">
        <v>2025</v>
      </c>
      <c r="C114">
        <v>1</v>
      </c>
      <c r="D114" t="s">
        <v>31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25">
      <c r="A115" t="s">
        <v>72</v>
      </c>
      <c r="B115">
        <v>2025</v>
      </c>
      <c r="C115">
        <v>1</v>
      </c>
      <c r="D115" t="s">
        <v>31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25">
      <c r="A116" t="s">
        <v>72</v>
      </c>
      <c r="B116">
        <v>2025</v>
      </c>
      <c r="C116">
        <v>1</v>
      </c>
      <c r="D116" t="s">
        <v>31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25">
      <c r="A117" t="s">
        <v>72</v>
      </c>
      <c r="B117">
        <v>2025</v>
      </c>
      <c r="C117">
        <v>1</v>
      </c>
      <c r="D117" t="s">
        <v>31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25">
      <c r="A118" t="s">
        <v>72</v>
      </c>
      <c r="B118">
        <v>2025</v>
      </c>
      <c r="C118">
        <v>1</v>
      </c>
      <c r="D118" t="s">
        <v>31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25">
      <c r="A119" t="s">
        <v>72</v>
      </c>
      <c r="B119">
        <v>2025</v>
      </c>
      <c r="C119">
        <v>1</v>
      </c>
      <c r="D119" t="s">
        <v>31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25">
      <c r="A120" t="s">
        <v>72</v>
      </c>
      <c r="B120">
        <v>2025</v>
      </c>
      <c r="C120">
        <v>1</v>
      </c>
      <c r="D120" t="s">
        <v>31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25">
      <c r="A121" t="s">
        <v>72</v>
      </c>
      <c r="B121">
        <v>2025</v>
      </c>
      <c r="C121">
        <v>1</v>
      </c>
      <c r="D121" t="s">
        <v>31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25">
      <c r="A122" t="s">
        <v>72</v>
      </c>
      <c r="B122">
        <v>2025</v>
      </c>
      <c r="C122">
        <v>1</v>
      </c>
      <c r="D122" t="s">
        <v>31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25">
      <c r="A123" t="s">
        <v>72</v>
      </c>
      <c r="B123">
        <v>2025</v>
      </c>
      <c r="C123">
        <v>1</v>
      </c>
      <c r="D123" t="s">
        <v>31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25">
      <c r="A124" t="s">
        <v>72</v>
      </c>
      <c r="B124">
        <v>2025</v>
      </c>
      <c r="C124">
        <v>1</v>
      </c>
      <c r="D124" t="s">
        <v>31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25">
      <c r="A125" t="s">
        <v>72</v>
      </c>
      <c r="B125">
        <v>2025</v>
      </c>
      <c r="C125">
        <v>1</v>
      </c>
      <c r="D125" t="s">
        <v>31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25">
      <c r="A126" t="s">
        <v>72</v>
      </c>
      <c r="B126">
        <v>2025</v>
      </c>
      <c r="C126">
        <v>1</v>
      </c>
      <c r="D126" t="s">
        <v>31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25">
      <c r="A127" t="s">
        <v>72</v>
      </c>
      <c r="B127">
        <v>2025</v>
      </c>
      <c r="C127">
        <v>1</v>
      </c>
      <c r="D127" t="s">
        <v>31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25">
      <c r="A128" t="s">
        <v>72</v>
      </c>
      <c r="B128">
        <v>2025</v>
      </c>
      <c r="C128">
        <v>1</v>
      </c>
      <c r="D128" t="s">
        <v>31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25">
      <c r="A129" t="s">
        <v>72</v>
      </c>
      <c r="B129">
        <v>2025</v>
      </c>
      <c r="C129">
        <v>1</v>
      </c>
      <c r="D129" t="s">
        <v>31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25">
      <c r="A130" t="s">
        <v>72</v>
      </c>
      <c r="B130">
        <v>2025</v>
      </c>
      <c r="C130">
        <v>1</v>
      </c>
      <c r="D130" t="s">
        <v>31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25">
      <c r="A131" t="s">
        <v>72</v>
      </c>
      <c r="B131">
        <v>2025</v>
      </c>
      <c r="C131">
        <v>1</v>
      </c>
      <c r="D131" t="s">
        <v>31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25">
      <c r="A132" t="s">
        <v>72</v>
      </c>
      <c r="B132">
        <v>2025</v>
      </c>
      <c r="C132">
        <v>1</v>
      </c>
      <c r="D132" t="s">
        <v>31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25">
      <c r="A133" t="s">
        <v>72</v>
      </c>
      <c r="B133">
        <v>2025</v>
      </c>
      <c r="C133">
        <v>1</v>
      </c>
      <c r="D133" t="s">
        <v>31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25">
      <c r="A134" t="s">
        <v>72</v>
      </c>
      <c r="B134">
        <v>2025</v>
      </c>
      <c r="C134">
        <v>1</v>
      </c>
      <c r="D134" t="s">
        <v>31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25">
      <c r="A135" t="s">
        <v>72</v>
      </c>
      <c r="B135">
        <v>2025</v>
      </c>
      <c r="C135">
        <v>1</v>
      </c>
      <c r="D135" t="s">
        <v>31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25">
      <c r="A136" t="s">
        <v>72</v>
      </c>
      <c r="B136">
        <v>2025</v>
      </c>
      <c r="C136">
        <v>1</v>
      </c>
      <c r="D136" t="s">
        <v>31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25">
      <c r="A137" t="s">
        <v>72</v>
      </c>
      <c r="B137">
        <v>2025</v>
      </c>
      <c r="C137">
        <v>1</v>
      </c>
      <c r="D137" t="s">
        <v>31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25">
      <c r="A138" t="s">
        <v>72</v>
      </c>
      <c r="B138">
        <v>2025</v>
      </c>
      <c r="C138">
        <v>1</v>
      </c>
      <c r="D138" t="s">
        <v>31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25">
      <c r="A139" t="s">
        <v>72</v>
      </c>
      <c r="B139">
        <v>2025</v>
      </c>
      <c r="C139">
        <v>1</v>
      </c>
      <c r="D139" t="s">
        <v>31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25">
      <c r="A140" t="s">
        <v>72</v>
      </c>
      <c r="B140">
        <v>2025</v>
      </c>
      <c r="C140">
        <v>1</v>
      </c>
      <c r="D140" t="s">
        <v>31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25">
      <c r="A141" t="s">
        <v>72</v>
      </c>
      <c r="B141">
        <v>2025</v>
      </c>
      <c r="C141">
        <v>1</v>
      </c>
      <c r="D141" t="s">
        <v>31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25">
      <c r="A142" t="s">
        <v>72</v>
      </c>
      <c r="B142">
        <v>2025</v>
      </c>
      <c r="C142">
        <v>1</v>
      </c>
      <c r="D142" t="s">
        <v>31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25">
      <c r="A143" t="s">
        <v>72</v>
      </c>
      <c r="B143">
        <v>2025</v>
      </c>
      <c r="C143">
        <v>1</v>
      </c>
      <c r="D143" t="s">
        <v>31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25">
      <c r="A144" t="s">
        <v>72</v>
      </c>
      <c r="B144">
        <v>2025</v>
      </c>
      <c r="C144">
        <v>1</v>
      </c>
      <c r="D144" t="s">
        <v>31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25">
      <c r="A145" t="s">
        <v>72</v>
      </c>
      <c r="B145">
        <v>2025</v>
      </c>
      <c r="C145">
        <v>1</v>
      </c>
      <c r="D145" t="s">
        <v>31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25">
      <c r="A146" t="s">
        <v>72</v>
      </c>
      <c r="B146">
        <v>2025</v>
      </c>
      <c r="C146">
        <v>1</v>
      </c>
      <c r="D146" t="s">
        <v>31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25">
      <c r="A147" t="s">
        <v>72</v>
      </c>
      <c r="B147">
        <v>2025</v>
      </c>
      <c r="C147">
        <v>1</v>
      </c>
      <c r="D147" t="s">
        <v>31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25">
      <c r="A148" t="s">
        <v>72</v>
      </c>
      <c r="B148">
        <v>2025</v>
      </c>
      <c r="C148">
        <v>1</v>
      </c>
      <c r="D148" t="s">
        <v>31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25">
      <c r="A149" t="s">
        <v>72</v>
      </c>
      <c r="B149">
        <v>2025</v>
      </c>
      <c r="C149">
        <v>1</v>
      </c>
      <c r="D149" t="s">
        <v>31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25">
      <c r="A150" t="s">
        <v>72</v>
      </c>
      <c r="B150">
        <v>2025</v>
      </c>
      <c r="C150">
        <v>1</v>
      </c>
      <c r="D150" t="s">
        <v>31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25">
      <c r="A151" t="s">
        <v>72</v>
      </c>
      <c r="B151">
        <v>2025</v>
      </c>
      <c r="C151">
        <v>1</v>
      </c>
      <c r="D151" t="s">
        <v>31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25">
      <c r="A152" t="s">
        <v>72</v>
      </c>
      <c r="B152">
        <v>2025</v>
      </c>
      <c r="C152">
        <v>1</v>
      </c>
      <c r="D152" t="s">
        <v>31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25">
      <c r="A153" t="s">
        <v>72</v>
      </c>
      <c r="B153">
        <v>2025</v>
      </c>
      <c r="C153">
        <v>1</v>
      </c>
      <c r="D153" t="s">
        <v>31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25">
      <c r="A154" t="s">
        <v>72</v>
      </c>
      <c r="B154">
        <v>2025</v>
      </c>
      <c r="C154">
        <v>1</v>
      </c>
      <c r="D154" t="s">
        <v>31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25">
      <c r="A155" t="s">
        <v>72</v>
      </c>
      <c r="B155">
        <v>2025</v>
      </c>
      <c r="C155">
        <v>1</v>
      </c>
      <c r="D155" t="s">
        <v>31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25">
      <c r="A156" t="s">
        <v>72</v>
      </c>
      <c r="B156">
        <v>2025</v>
      </c>
      <c r="C156">
        <v>1</v>
      </c>
      <c r="D156" t="s">
        <v>31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25">
      <c r="A157" t="s">
        <v>72</v>
      </c>
      <c r="B157">
        <v>2025</v>
      </c>
      <c r="C157">
        <v>1</v>
      </c>
      <c r="D157" t="s">
        <v>31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25">
      <c r="A158" t="s">
        <v>72</v>
      </c>
      <c r="B158">
        <v>2025</v>
      </c>
      <c r="C158">
        <v>1</v>
      </c>
      <c r="D158" t="s">
        <v>31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25">
      <c r="A159" t="s">
        <v>72</v>
      </c>
      <c r="B159">
        <v>2025</v>
      </c>
      <c r="C159">
        <v>1</v>
      </c>
      <c r="D159" t="s">
        <v>31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25">
      <c r="A160" t="s">
        <v>72</v>
      </c>
      <c r="B160">
        <v>2025</v>
      </c>
      <c r="C160">
        <v>1</v>
      </c>
      <c r="D160" t="s">
        <v>31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25">
      <c r="A161" t="s">
        <v>72</v>
      </c>
      <c r="B161">
        <v>2025</v>
      </c>
      <c r="C161">
        <v>1</v>
      </c>
      <c r="D161" t="s">
        <v>31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25">
      <c r="A162" t="s">
        <v>72</v>
      </c>
      <c r="B162">
        <v>2025</v>
      </c>
      <c r="C162">
        <v>1</v>
      </c>
      <c r="D162" t="s">
        <v>31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25">
      <c r="A163" t="s">
        <v>72</v>
      </c>
      <c r="B163">
        <v>2025</v>
      </c>
      <c r="C163">
        <v>1</v>
      </c>
      <c r="D163" t="s">
        <v>31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25">
      <c r="A164" t="s">
        <v>72</v>
      </c>
      <c r="B164">
        <v>2025</v>
      </c>
      <c r="C164">
        <v>1</v>
      </c>
      <c r="D164" t="s">
        <v>31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25">
      <c r="A165" t="s">
        <v>72</v>
      </c>
      <c r="B165">
        <v>2025</v>
      </c>
      <c r="C165">
        <v>1</v>
      </c>
      <c r="D165" t="s">
        <v>31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25">
      <c r="A166" t="s">
        <v>72</v>
      </c>
      <c r="B166">
        <v>2025</v>
      </c>
      <c r="C166">
        <v>1</v>
      </c>
      <c r="D166" t="s">
        <v>31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25">
      <c r="A167" t="s">
        <v>72</v>
      </c>
      <c r="B167">
        <v>2025</v>
      </c>
      <c r="C167">
        <v>1</v>
      </c>
      <c r="D167" t="s">
        <v>31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25">
      <c r="A168" t="s">
        <v>72</v>
      </c>
      <c r="B168">
        <v>2025</v>
      </c>
      <c r="C168">
        <v>1</v>
      </c>
      <c r="D168" t="s">
        <v>31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25">
      <c r="A169" t="s">
        <v>72</v>
      </c>
      <c r="B169">
        <v>2025</v>
      </c>
      <c r="C169">
        <v>1</v>
      </c>
      <c r="D169" t="s">
        <v>31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25">
      <c r="A170" t="s">
        <v>72</v>
      </c>
      <c r="B170">
        <v>2025</v>
      </c>
      <c r="C170">
        <v>1</v>
      </c>
      <c r="D170" t="s">
        <v>31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25">
      <c r="A171" t="s">
        <v>72</v>
      </c>
      <c r="B171">
        <v>2025</v>
      </c>
      <c r="C171">
        <v>1</v>
      </c>
      <c r="D171" t="s">
        <v>31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25">
      <c r="A172" t="s">
        <v>72</v>
      </c>
      <c r="B172">
        <v>2025</v>
      </c>
      <c r="C172">
        <v>1</v>
      </c>
      <c r="D172" t="s">
        <v>31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25">
      <c r="A173" t="s">
        <v>72</v>
      </c>
      <c r="B173">
        <v>2025</v>
      </c>
      <c r="C173">
        <v>1</v>
      </c>
      <c r="D173" t="s">
        <v>31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25">
      <c r="A174" t="s">
        <v>72</v>
      </c>
      <c r="B174">
        <v>2025</v>
      </c>
      <c r="C174">
        <v>1</v>
      </c>
      <c r="D174" t="s">
        <v>31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25">
      <c r="A175" t="s">
        <v>72</v>
      </c>
      <c r="B175">
        <v>2025</v>
      </c>
      <c r="C175">
        <v>1</v>
      </c>
      <c r="D175" t="s">
        <v>31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25">
      <c r="A176" t="s">
        <v>72</v>
      </c>
      <c r="B176">
        <v>2025</v>
      </c>
      <c r="C176">
        <v>1</v>
      </c>
      <c r="D176" t="s">
        <v>31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25">
      <c r="A177" t="s">
        <v>72</v>
      </c>
      <c r="B177">
        <v>2025</v>
      </c>
      <c r="C177">
        <v>1</v>
      </c>
      <c r="D177" t="s">
        <v>31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25">
      <c r="A178" t="s">
        <v>72</v>
      </c>
      <c r="B178">
        <v>2025</v>
      </c>
      <c r="C178">
        <v>1</v>
      </c>
      <c r="D178" t="s">
        <v>31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25">
      <c r="A179" t="s">
        <v>72</v>
      </c>
      <c r="B179">
        <v>2025</v>
      </c>
      <c r="C179">
        <v>1</v>
      </c>
      <c r="D179" t="s">
        <v>31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25">
      <c r="A180" t="s">
        <v>72</v>
      </c>
      <c r="B180">
        <v>2025</v>
      </c>
      <c r="C180">
        <v>1</v>
      </c>
      <c r="D180" t="s">
        <v>31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25">
      <c r="A181" t="s">
        <v>72</v>
      </c>
      <c r="B181">
        <v>2025</v>
      </c>
      <c r="C181">
        <v>1</v>
      </c>
      <c r="D181" t="s">
        <v>31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25">
      <c r="A182" t="s">
        <v>72</v>
      </c>
      <c r="B182">
        <v>2025</v>
      </c>
      <c r="C182">
        <v>1</v>
      </c>
      <c r="D182" t="s">
        <v>31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25">
      <c r="A183" t="s">
        <v>72</v>
      </c>
      <c r="B183">
        <v>2025</v>
      </c>
      <c r="C183">
        <v>1</v>
      </c>
      <c r="D183" t="s">
        <v>31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25">
      <c r="A184" t="s">
        <v>72</v>
      </c>
      <c r="B184">
        <v>2025</v>
      </c>
      <c r="C184">
        <v>1</v>
      </c>
      <c r="D184" t="s">
        <v>31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25">
      <c r="A185" t="s">
        <v>72</v>
      </c>
      <c r="B185">
        <v>2025</v>
      </c>
      <c r="C185">
        <v>1</v>
      </c>
      <c r="D185" t="s">
        <v>31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25">
      <c r="A186" t="s">
        <v>72</v>
      </c>
      <c r="B186">
        <v>2025</v>
      </c>
      <c r="C186">
        <v>1</v>
      </c>
      <c r="D186" t="s">
        <v>31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25">
      <c r="A187" t="s">
        <v>72</v>
      </c>
      <c r="B187">
        <v>2025</v>
      </c>
      <c r="C187">
        <v>1</v>
      </c>
      <c r="D187" t="s">
        <v>31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25">
      <c r="A188" t="s">
        <v>72</v>
      </c>
      <c r="B188">
        <v>2025</v>
      </c>
      <c r="C188">
        <v>1</v>
      </c>
      <c r="D188" t="s">
        <v>31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25">
      <c r="A189" t="s">
        <v>72</v>
      </c>
      <c r="B189">
        <v>2025</v>
      </c>
      <c r="C189">
        <v>1</v>
      </c>
      <c r="D189" t="s">
        <v>31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25">
      <c r="A190" t="s">
        <v>72</v>
      </c>
      <c r="B190">
        <v>2025</v>
      </c>
      <c r="C190">
        <v>1</v>
      </c>
      <c r="D190" t="s">
        <v>31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25">
      <c r="A191" t="s">
        <v>72</v>
      </c>
      <c r="B191">
        <v>2025</v>
      </c>
      <c r="C191">
        <v>1</v>
      </c>
      <c r="D191" t="s">
        <v>31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25">
      <c r="A192" t="s">
        <v>72</v>
      </c>
      <c r="B192">
        <v>2025</v>
      </c>
      <c r="C192">
        <v>1</v>
      </c>
      <c r="D192" t="s">
        <v>31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25">
      <c r="A193" t="s">
        <v>72</v>
      </c>
      <c r="B193">
        <v>2025</v>
      </c>
      <c r="C193">
        <v>1</v>
      </c>
      <c r="D193" t="s">
        <v>31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25">
      <c r="A194" t="s">
        <v>72</v>
      </c>
      <c r="B194">
        <v>2025</v>
      </c>
      <c r="C194">
        <v>1</v>
      </c>
      <c r="D194" t="s">
        <v>31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25">
      <c r="A195" t="s">
        <v>72</v>
      </c>
      <c r="B195">
        <v>2025</v>
      </c>
      <c r="C195">
        <v>1</v>
      </c>
      <c r="D195" t="s">
        <v>31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25">
      <c r="A196" t="s">
        <v>72</v>
      </c>
      <c r="B196">
        <v>2025</v>
      </c>
      <c r="C196">
        <v>1</v>
      </c>
      <c r="D196" t="s">
        <v>31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25">
      <c r="A197" t="s">
        <v>72</v>
      </c>
      <c r="B197">
        <v>2025</v>
      </c>
      <c r="C197">
        <v>1</v>
      </c>
      <c r="D197" t="s">
        <v>31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8" spans="1:36" x14ac:dyDescent="0.25">
      <c r="A198" t="s">
        <v>72</v>
      </c>
      <c r="B198">
        <v>2025</v>
      </c>
      <c r="C198">
        <v>1</v>
      </c>
      <c r="D198" t="s">
        <v>31</v>
      </c>
      <c r="E198" t="s">
        <v>49</v>
      </c>
      <c r="F198" t="s">
        <v>50</v>
      </c>
      <c r="H198" t="s">
        <v>51</v>
      </c>
      <c r="I198" t="s">
        <v>33</v>
      </c>
      <c r="J198" t="s">
        <v>32</v>
      </c>
      <c r="L198">
        <v>2024</v>
      </c>
      <c r="M198" t="s">
        <v>34</v>
      </c>
      <c r="N198" t="s">
        <v>35</v>
      </c>
      <c r="O198">
        <v>127160</v>
      </c>
      <c r="P198" t="s">
        <v>102</v>
      </c>
      <c r="Q198" t="s">
        <v>37</v>
      </c>
      <c r="R198">
        <v>1</v>
      </c>
      <c r="S198" t="s">
        <v>38</v>
      </c>
      <c r="T198" t="s">
        <v>52</v>
      </c>
      <c r="V198" t="s">
        <v>40</v>
      </c>
      <c r="W198" t="s">
        <v>41</v>
      </c>
      <c r="X198" t="s">
        <v>43</v>
      </c>
      <c r="Y198" t="s">
        <v>44</v>
      </c>
      <c r="Z198">
        <v>456</v>
      </c>
      <c r="AA198" t="s">
        <v>81</v>
      </c>
      <c r="AB198" t="s">
        <v>82</v>
      </c>
      <c r="AC198">
        <v>1</v>
      </c>
      <c r="AG198" t="s">
        <v>73</v>
      </c>
      <c r="AH198" t="s">
        <v>74</v>
      </c>
      <c r="AI198" t="s">
        <v>75</v>
      </c>
      <c r="AJ198">
        <v>1.4337489476631473</v>
      </c>
    </row>
    <row r="199" spans="1:36" x14ac:dyDescent="0.25">
      <c r="A199" t="s">
        <v>72</v>
      </c>
      <c r="B199">
        <v>2025</v>
      </c>
      <c r="C199">
        <v>1</v>
      </c>
      <c r="D199" t="s">
        <v>31</v>
      </c>
      <c r="E199" t="s">
        <v>49</v>
      </c>
      <c r="F199" t="s">
        <v>50</v>
      </c>
      <c r="H199" t="s">
        <v>51</v>
      </c>
      <c r="I199" t="s">
        <v>33</v>
      </c>
      <c r="J199" t="s">
        <v>32</v>
      </c>
      <c r="L199">
        <v>2024</v>
      </c>
      <c r="M199" t="s">
        <v>34</v>
      </c>
      <c r="N199" t="s">
        <v>35</v>
      </c>
      <c r="O199">
        <v>127160</v>
      </c>
      <c r="P199" t="s">
        <v>102</v>
      </c>
      <c r="Q199" t="s">
        <v>37</v>
      </c>
      <c r="R199">
        <v>1</v>
      </c>
      <c r="S199" t="s">
        <v>38</v>
      </c>
      <c r="T199" t="s">
        <v>52</v>
      </c>
      <c r="V199" t="s">
        <v>40</v>
      </c>
      <c r="W199" t="s">
        <v>41</v>
      </c>
      <c r="X199" t="s">
        <v>43</v>
      </c>
      <c r="Y199" t="s">
        <v>44</v>
      </c>
      <c r="Z199">
        <v>456</v>
      </c>
      <c r="AA199" t="s">
        <v>81</v>
      </c>
      <c r="AB199" t="s">
        <v>82</v>
      </c>
      <c r="AC199">
        <v>2</v>
      </c>
      <c r="AG199" t="s">
        <v>73</v>
      </c>
      <c r="AH199" t="s">
        <v>74</v>
      </c>
      <c r="AI199" t="s">
        <v>75</v>
      </c>
      <c r="AJ199">
        <v>2.0951945089113604</v>
      </c>
    </row>
    <row r="200" spans="1:36" x14ac:dyDescent="0.25">
      <c r="A200" t="s">
        <v>72</v>
      </c>
      <c r="B200">
        <v>2025</v>
      </c>
      <c r="C200">
        <v>1</v>
      </c>
      <c r="D200" t="s">
        <v>31</v>
      </c>
      <c r="E200" t="s">
        <v>49</v>
      </c>
      <c r="F200" t="s">
        <v>50</v>
      </c>
      <c r="H200" t="s">
        <v>51</v>
      </c>
      <c r="I200" t="s">
        <v>33</v>
      </c>
      <c r="J200" t="s">
        <v>32</v>
      </c>
      <c r="L200">
        <v>2024</v>
      </c>
      <c r="M200" t="s">
        <v>34</v>
      </c>
      <c r="N200" t="s">
        <v>35</v>
      </c>
      <c r="O200">
        <v>127160</v>
      </c>
      <c r="P200" t="s">
        <v>102</v>
      </c>
      <c r="Q200" t="s">
        <v>37</v>
      </c>
      <c r="R200">
        <v>1</v>
      </c>
      <c r="S200" t="s">
        <v>38</v>
      </c>
      <c r="T200" t="s">
        <v>52</v>
      </c>
      <c r="V200" t="s">
        <v>40</v>
      </c>
      <c r="W200" t="s">
        <v>41</v>
      </c>
      <c r="X200" t="s">
        <v>43</v>
      </c>
      <c r="Y200" t="s">
        <v>44</v>
      </c>
      <c r="Z200">
        <v>456</v>
      </c>
      <c r="AA200" t="s">
        <v>81</v>
      </c>
      <c r="AB200" t="s">
        <v>82</v>
      </c>
      <c r="AC200">
        <v>3</v>
      </c>
      <c r="AG200" t="s">
        <v>73</v>
      </c>
      <c r="AH200" t="s">
        <v>74</v>
      </c>
      <c r="AI200" t="s">
        <v>75</v>
      </c>
      <c r="AJ200">
        <v>0.67153003866085359</v>
      </c>
    </row>
    <row r="201" spans="1:36" x14ac:dyDescent="0.25">
      <c r="A201" t="s">
        <v>72</v>
      </c>
      <c r="B201">
        <v>2025</v>
      </c>
      <c r="C201">
        <v>1</v>
      </c>
      <c r="D201" t="s">
        <v>31</v>
      </c>
      <c r="E201" t="s">
        <v>49</v>
      </c>
      <c r="F201" t="s">
        <v>50</v>
      </c>
      <c r="H201" t="s">
        <v>51</v>
      </c>
      <c r="I201" t="s">
        <v>33</v>
      </c>
      <c r="J201" t="s">
        <v>32</v>
      </c>
      <c r="L201">
        <v>2024</v>
      </c>
      <c r="M201" t="s">
        <v>34</v>
      </c>
      <c r="N201" t="s">
        <v>35</v>
      </c>
      <c r="O201">
        <v>127160</v>
      </c>
      <c r="P201" t="s">
        <v>102</v>
      </c>
      <c r="Q201" t="s">
        <v>37</v>
      </c>
      <c r="R201">
        <v>1</v>
      </c>
      <c r="S201" t="s">
        <v>38</v>
      </c>
      <c r="T201" t="s">
        <v>52</v>
      </c>
      <c r="V201" t="s">
        <v>40</v>
      </c>
      <c r="W201" t="s">
        <v>41</v>
      </c>
      <c r="X201" t="s">
        <v>43</v>
      </c>
      <c r="Y201" t="s">
        <v>44</v>
      </c>
      <c r="Z201">
        <v>456</v>
      </c>
      <c r="AA201" t="s">
        <v>81</v>
      </c>
      <c r="AB201" t="s">
        <v>82</v>
      </c>
      <c r="AC201">
        <v>4</v>
      </c>
      <c r="AG201" t="s">
        <v>73</v>
      </c>
      <c r="AH201" t="s">
        <v>74</v>
      </c>
      <c r="AI201" t="s">
        <v>75</v>
      </c>
      <c r="AJ201">
        <v>7.7894717832777172</v>
      </c>
    </row>
    <row r="202" spans="1:36" x14ac:dyDescent="0.25">
      <c r="A202" t="s">
        <v>72</v>
      </c>
      <c r="B202">
        <v>2025</v>
      </c>
      <c r="C202">
        <v>1</v>
      </c>
      <c r="D202" t="s">
        <v>31</v>
      </c>
      <c r="E202" t="s">
        <v>49</v>
      </c>
      <c r="F202" t="s">
        <v>50</v>
      </c>
      <c r="H202" t="s">
        <v>51</v>
      </c>
      <c r="I202" t="s">
        <v>33</v>
      </c>
      <c r="J202" t="s">
        <v>32</v>
      </c>
      <c r="L202">
        <v>2024</v>
      </c>
      <c r="M202" t="s">
        <v>34</v>
      </c>
      <c r="N202" t="s">
        <v>35</v>
      </c>
      <c r="O202">
        <v>127160</v>
      </c>
      <c r="P202" t="s">
        <v>102</v>
      </c>
      <c r="Q202" t="s">
        <v>37</v>
      </c>
      <c r="R202">
        <v>1</v>
      </c>
      <c r="S202" t="s">
        <v>38</v>
      </c>
      <c r="T202" t="s">
        <v>52</v>
      </c>
      <c r="V202" t="s">
        <v>40</v>
      </c>
      <c r="W202" t="s">
        <v>41</v>
      </c>
      <c r="X202" t="s">
        <v>43</v>
      </c>
      <c r="Y202" t="s">
        <v>44</v>
      </c>
      <c r="Z202">
        <v>456</v>
      </c>
      <c r="AA202" t="s">
        <v>81</v>
      </c>
      <c r="AB202" t="s">
        <v>82</v>
      </c>
      <c r="AC202">
        <v>5</v>
      </c>
      <c r="AG202" t="s">
        <v>73</v>
      </c>
      <c r="AH202" t="s">
        <v>74</v>
      </c>
      <c r="AI202" t="s">
        <v>75</v>
      </c>
      <c r="AJ202">
        <v>11.534924901588099</v>
      </c>
    </row>
    <row r="203" spans="1:36" x14ac:dyDescent="0.25">
      <c r="A203" t="s">
        <v>72</v>
      </c>
      <c r="B203">
        <v>2025</v>
      </c>
      <c r="C203">
        <v>1</v>
      </c>
      <c r="D203" t="s">
        <v>31</v>
      </c>
      <c r="E203" t="s">
        <v>49</v>
      </c>
      <c r="F203" t="s">
        <v>50</v>
      </c>
      <c r="H203" t="s">
        <v>51</v>
      </c>
      <c r="I203" t="s">
        <v>33</v>
      </c>
      <c r="J203" t="s">
        <v>32</v>
      </c>
      <c r="L203">
        <v>2024</v>
      </c>
      <c r="M203" t="s">
        <v>34</v>
      </c>
      <c r="N203" t="s">
        <v>35</v>
      </c>
      <c r="O203">
        <v>127160</v>
      </c>
      <c r="P203" t="s">
        <v>102</v>
      </c>
      <c r="Q203" t="s">
        <v>37</v>
      </c>
      <c r="R203">
        <v>1</v>
      </c>
      <c r="S203" t="s">
        <v>38</v>
      </c>
      <c r="T203" t="s">
        <v>52</v>
      </c>
      <c r="V203" t="s">
        <v>40</v>
      </c>
      <c r="W203" t="s">
        <v>41</v>
      </c>
      <c r="X203" t="s">
        <v>43</v>
      </c>
      <c r="Y203" t="s">
        <v>44</v>
      </c>
      <c r="Z203">
        <v>456</v>
      </c>
      <c r="AA203" t="s">
        <v>81</v>
      </c>
      <c r="AB203" t="s">
        <v>82</v>
      </c>
      <c r="AC203">
        <v>6</v>
      </c>
      <c r="AG203" t="s">
        <v>73</v>
      </c>
      <c r="AH203" t="s">
        <v>74</v>
      </c>
      <c r="AI203" t="s">
        <v>75</v>
      </c>
      <c r="AJ203">
        <v>11.438348342000518</v>
      </c>
    </row>
    <row r="204" spans="1:36" x14ac:dyDescent="0.25">
      <c r="A204" t="s">
        <v>72</v>
      </c>
      <c r="B204">
        <v>2025</v>
      </c>
      <c r="C204">
        <v>1</v>
      </c>
      <c r="D204" t="s">
        <v>31</v>
      </c>
      <c r="E204" t="s">
        <v>49</v>
      </c>
      <c r="F204" t="s">
        <v>50</v>
      </c>
      <c r="H204" t="s">
        <v>51</v>
      </c>
      <c r="I204" t="s">
        <v>33</v>
      </c>
      <c r="J204" t="s">
        <v>32</v>
      </c>
      <c r="L204">
        <v>2024</v>
      </c>
      <c r="M204" t="s">
        <v>34</v>
      </c>
      <c r="N204" t="s">
        <v>35</v>
      </c>
      <c r="O204">
        <v>127160</v>
      </c>
      <c r="P204" t="s">
        <v>102</v>
      </c>
      <c r="Q204" t="s">
        <v>37</v>
      </c>
      <c r="R204">
        <v>1</v>
      </c>
      <c r="S204" t="s">
        <v>38</v>
      </c>
      <c r="T204" t="s">
        <v>52</v>
      </c>
      <c r="V204" t="s">
        <v>40</v>
      </c>
      <c r="W204" t="s">
        <v>41</v>
      </c>
      <c r="X204" t="s">
        <v>43</v>
      </c>
      <c r="Y204" t="s">
        <v>44</v>
      </c>
      <c r="Z204">
        <v>456</v>
      </c>
      <c r="AA204" t="s">
        <v>81</v>
      </c>
      <c r="AB204" t="s">
        <v>82</v>
      </c>
      <c r="AC204">
        <v>7</v>
      </c>
      <c r="AG204" t="s">
        <v>73</v>
      </c>
      <c r="AH204" t="s">
        <v>74</v>
      </c>
      <c r="AI204" t="s">
        <v>75</v>
      </c>
      <c r="AJ204">
        <v>16.524423874596412</v>
      </c>
    </row>
    <row r="205" spans="1:36" x14ac:dyDescent="0.25">
      <c r="A205" t="s">
        <v>72</v>
      </c>
      <c r="B205">
        <v>2025</v>
      </c>
      <c r="C205">
        <v>1</v>
      </c>
      <c r="D205" t="s">
        <v>31</v>
      </c>
      <c r="E205" t="s">
        <v>49</v>
      </c>
      <c r="F205" t="s">
        <v>50</v>
      </c>
      <c r="H205" t="s">
        <v>51</v>
      </c>
      <c r="I205" t="s">
        <v>33</v>
      </c>
      <c r="J205" t="s">
        <v>32</v>
      </c>
      <c r="L205">
        <v>2024</v>
      </c>
      <c r="M205" t="s">
        <v>34</v>
      </c>
      <c r="N205" t="s">
        <v>35</v>
      </c>
      <c r="O205">
        <v>127160</v>
      </c>
      <c r="P205" t="s">
        <v>102</v>
      </c>
      <c r="Q205" t="s">
        <v>37</v>
      </c>
      <c r="R205">
        <v>1</v>
      </c>
      <c r="S205" t="s">
        <v>38</v>
      </c>
      <c r="T205" t="s">
        <v>52</v>
      </c>
      <c r="V205" t="s">
        <v>40</v>
      </c>
      <c r="W205" t="s">
        <v>41</v>
      </c>
      <c r="X205" t="s">
        <v>43</v>
      </c>
      <c r="Y205" t="s">
        <v>44</v>
      </c>
      <c r="Z205">
        <v>456</v>
      </c>
      <c r="AA205" t="s">
        <v>81</v>
      </c>
      <c r="AB205" t="s">
        <v>82</v>
      </c>
      <c r="AC205">
        <v>1</v>
      </c>
      <c r="AG205" t="s">
        <v>43</v>
      </c>
      <c r="AH205" t="s">
        <v>44</v>
      </c>
      <c r="AI205" t="s">
        <v>77</v>
      </c>
      <c r="AJ205">
        <v>5.4675291723273898E-3</v>
      </c>
    </row>
    <row r="206" spans="1:36" x14ac:dyDescent="0.25">
      <c r="A206" t="s">
        <v>72</v>
      </c>
      <c r="B206">
        <v>2025</v>
      </c>
      <c r="C206">
        <v>1</v>
      </c>
      <c r="D206" t="s">
        <v>31</v>
      </c>
      <c r="E206" t="s">
        <v>49</v>
      </c>
      <c r="F206" t="s">
        <v>50</v>
      </c>
      <c r="H206" t="s">
        <v>51</v>
      </c>
      <c r="I206" t="s">
        <v>33</v>
      </c>
      <c r="J206" t="s">
        <v>32</v>
      </c>
      <c r="L206">
        <v>2024</v>
      </c>
      <c r="M206" t="s">
        <v>34</v>
      </c>
      <c r="N206" t="s">
        <v>35</v>
      </c>
      <c r="O206">
        <v>127160</v>
      </c>
      <c r="P206" t="s">
        <v>102</v>
      </c>
      <c r="Q206" t="s">
        <v>37</v>
      </c>
      <c r="R206">
        <v>1</v>
      </c>
      <c r="S206" t="s">
        <v>38</v>
      </c>
      <c r="T206" t="s">
        <v>52</v>
      </c>
      <c r="V206" t="s">
        <v>40</v>
      </c>
      <c r="W206" t="s">
        <v>41</v>
      </c>
      <c r="X206" t="s">
        <v>43</v>
      </c>
      <c r="Y206" t="s">
        <v>44</v>
      </c>
      <c r="Z206">
        <v>456</v>
      </c>
      <c r="AA206" t="s">
        <v>81</v>
      </c>
      <c r="AB206" t="s">
        <v>82</v>
      </c>
      <c r="AC206">
        <v>2</v>
      </c>
      <c r="AG206" t="s">
        <v>43</v>
      </c>
      <c r="AH206" t="s">
        <v>44</v>
      </c>
      <c r="AI206" t="s">
        <v>77</v>
      </c>
      <c r="AJ206">
        <v>6.1144567118772992E-3</v>
      </c>
    </row>
    <row r="207" spans="1:36" x14ac:dyDescent="0.25">
      <c r="A207" t="s">
        <v>72</v>
      </c>
      <c r="B207">
        <v>2025</v>
      </c>
      <c r="C207">
        <v>1</v>
      </c>
      <c r="D207" t="s">
        <v>31</v>
      </c>
      <c r="E207" t="s">
        <v>49</v>
      </c>
      <c r="F207" t="s">
        <v>50</v>
      </c>
      <c r="H207" t="s">
        <v>51</v>
      </c>
      <c r="I207" t="s">
        <v>33</v>
      </c>
      <c r="J207" t="s">
        <v>32</v>
      </c>
      <c r="L207">
        <v>2024</v>
      </c>
      <c r="M207" t="s">
        <v>34</v>
      </c>
      <c r="N207" t="s">
        <v>35</v>
      </c>
      <c r="O207">
        <v>127160</v>
      </c>
      <c r="P207" t="s">
        <v>102</v>
      </c>
      <c r="Q207" t="s">
        <v>37</v>
      </c>
      <c r="R207">
        <v>1</v>
      </c>
      <c r="S207" t="s">
        <v>38</v>
      </c>
      <c r="T207" t="s">
        <v>52</v>
      </c>
      <c r="V207" t="s">
        <v>40</v>
      </c>
      <c r="W207" t="s">
        <v>41</v>
      </c>
      <c r="X207" t="s">
        <v>43</v>
      </c>
      <c r="Y207" t="s">
        <v>44</v>
      </c>
      <c r="Z207">
        <v>456</v>
      </c>
      <c r="AA207" t="s">
        <v>81</v>
      </c>
      <c r="AB207" t="s">
        <v>82</v>
      </c>
      <c r="AC207">
        <v>3</v>
      </c>
      <c r="AG207" t="s">
        <v>43</v>
      </c>
      <c r="AH207" t="s">
        <v>44</v>
      </c>
      <c r="AI207" t="s">
        <v>77</v>
      </c>
      <c r="AJ207">
        <v>6.9160162542765101E-3</v>
      </c>
    </row>
    <row r="208" spans="1:36" x14ac:dyDescent="0.25">
      <c r="A208" t="s">
        <v>72</v>
      </c>
      <c r="B208">
        <v>2025</v>
      </c>
      <c r="C208">
        <v>1</v>
      </c>
      <c r="D208" t="s">
        <v>31</v>
      </c>
      <c r="E208" t="s">
        <v>49</v>
      </c>
      <c r="F208" t="s">
        <v>50</v>
      </c>
      <c r="H208" t="s">
        <v>51</v>
      </c>
      <c r="I208" t="s">
        <v>33</v>
      </c>
      <c r="J208" t="s">
        <v>32</v>
      </c>
      <c r="L208">
        <v>2024</v>
      </c>
      <c r="M208" t="s">
        <v>34</v>
      </c>
      <c r="N208" t="s">
        <v>35</v>
      </c>
      <c r="O208">
        <v>127160</v>
      </c>
      <c r="P208" t="s">
        <v>102</v>
      </c>
      <c r="Q208" t="s">
        <v>37</v>
      </c>
      <c r="R208">
        <v>1</v>
      </c>
      <c r="S208" t="s">
        <v>38</v>
      </c>
      <c r="T208" t="s">
        <v>52</v>
      </c>
      <c r="V208" t="s">
        <v>40</v>
      </c>
      <c r="W208" t="s">
        <v>41</v>
      </c>
      <c r="X208" t="s">
        <v>43</v>
      </c>
      <c r="Y208" t="s">
        <v>44</v>
      </c>
      <c r="Z208">
        <v>456</v>
      </c>
      <c r="AA208" t="s">
        <v>81</v>
      </c>
      <c r="AB208" t="s">
        <v>82</v>
      </c>
      <c r="AC208">
        <v>4</v>
      </c>
      <c r="AG208" t="s">
        <v>43</v>
      </c>
      <c r="AH208" t="s">
        <v>44</v>
      </c>
      <c r="AI208" t="s">
        <v>77</v>
      </c>
      <c r="AJ208">
        <v>7.4743746738224134E-3</v>
      </c>
    </row>
    <row r="209" spans="1:52" x14ac:dyDescent="0.25">
      <c r="A209" t="s">
        <v>72</v>
      </c>
      <c r="B209">
        <v>2025</v>
      </c>
      <c r="C209">
        <v>1</v>
      </c>
      <c r="D209" t="s">
        <v>31</v>
      </c>
      <c r="E209" t="s">
        <v>49</v>
      </c>
      <c r="F209" t="s">
        <v>50</v>
      </c>
      <c r="H209" t="s">
        <v>51</v>
      </c>
      <c r="I209" t="s">
        <v>33</v>
      </c>
      <c r="J209" t="s">
        <v>32</v>
      </c>
      <c r="L209">
        <v>2024</v>
      </c>
      <c r="M209" t="s">
        <v>34</v>
      </c>
      <c r="N209" t="s">
        <v>35</v>
      </c>
      <c r="O209">
        <v>127160</v>
      </c>
      <c r="P209" t="s">
        <v>102</v>
      </c>
      <c r="Q209" t="s">
        <v>37</v>
      </c>
      <c r="R209">
        <v>1</v>
      </c>
      <c r="S209" t="s">
        <v>38</v>
      </c>
      <c r="T209" t="s">
        <v>52</v>
      </c>
      <c r="V209" t="s">
        <v>40</v>
      </c>
      <c r="W209" t="s">
        <v>41</v>
      </c>
      <c r="X209" t="s">
        <v>43</v>
      </c>
      <c r="Y209" t="s">
        <v>44</v>
      </c>
      <c r="Z209">
        <v>456</v>
      </c>
      <c r="AA209" t="s">
        <v>81</v>
      </c>
      <c r="AB209" t="s">
        <v>82</v>
      </c>
      <c r="AC209">
        <v>5</v>
      </c>
      <c r="AG209" t="s">
        <v>43</v>
      </c>
      <c r="AH209" t="s">
        <v>44</v>
      </c>
      <c r="AI209" t="s">
        <v>77</v>
      </c>
      <c r="AJ209">
        <v>8.3492896233372631E-3</v>
      </c>
    </row>
    <row r="210" spans="1:52" x14ac:dyDescent="0.25">
      <c r="A210" t="s">
        <v>72</v>
      </c>
      <c r="B210">
        <v>2025</v>
      </c>
      <c r="C210">
        <v>1</v>
      </c>
      <c r="D210" t="s">
        <v>31</v>
      </c>
      <c r="E210" t="s">
        <v>49</v>
      </c>
      <c r="F210" t="s">
        <v>50</v>
      </c>
      <c r="H210" t="s">
        <v>51</v>
      </c>
      <c r="I210" t="s">
        <v>33</v>
      </c>
      <c r="J210" t="s">
        <v>32</v>
      </c>
      <c r="L210">
        <v>2024</v>
      </c>
      <c r="M210" t="s">
        <v>34</v>
      </c>
      <c r="N210" t="s">
        <v>35</v>
      </c>
      <c r="O210">
        <v>127160</v>
      </c>
      <c r="P210" t="s">
        <v>102</v>
      </c>
      <c r="Q210" t="s">
        <v>37</v>
      </c>
      <c r="R210">
        <v>1</v>
      </c>
      <c r="S210" t="s">
        <v>38</v>
      </c>
      <c r="T210" t="s">
        <v>52</v>
      </c>
      <c r="V210" t="s">
        <v>40</v>
      </c>
      <c r="W210" t="s">
        <v>41</v>
      </c>
      <c r="X210" t="s">
        <v>43</v>
      </c>
      <c r="Y210" t="s">
        <v>44</v>
      </c>
      <c r="Z210">
        <v>456</v>
      </c>
      <c r="AA210" t="s">
        <v>81</v>
      </c>
      <c r="AB210" t="s">
        <v>82</v>
      </c>
      <c r="AC210">
        <v>6</v>
      </c>
      <c r="AG210" t="s">
        <v>43</v>
      </c>
      <c r="AH210" t="s">
        <v>44</v>
      </c>
      <c r="AI210" t="s">
        <v>77</v>
      </c>
      <c r="AJ210">
        <v>9.8292469555517105E-3</v>
      </c>
    </row>
    <row r="211" spans="1:52" x14ac:dyDescent="0.25">
      <c r="A211" t="s">
        <v>72</v>
      </c>
      <c r="B211">
        <v>2025</v>
      </c>
      <c r="C211">
        <v>1</v>
      </c>
      <c r="D211" t="s">
        <v>31</v>
      </c>
      <c r="E211" t="s">
        <v>49</v>
      </c>
      <c r="F211" t="s">
        <v>50</v>
      </c>
      <c r="H211" t="s">
        <v>51</v>
      </c>
      <c r="I211" t="s">
        <v>33</v>
      </c>
      <c r="J211" t="s">
        <v>32</v>
      </c>
      <c r="L211">
        <v>2024</v>
      </c>
      <c r="M211" t="s">
        <v>34</v>
      </c>
      <c r="N211" t="s">
        <v>35</v>
      </c>
      <c r="O211">
        <v>127160</v>
      </c>
      <c r="P211" t="s">
        <v>102</v>
      </c>
      <c r="Q211" t="s">
        <v>37</v>
      </c>
      <c r="R211">
        <v>1</v>
      </c>
      <c r="S211" t="s">
        <v>38</v>
      </c>
      <c r="T211" t="s">
        <v>52</v>
      </c>
      <c r="V211" t="s">
        <v>40</v>
      </c>
      <c r="W211" t="s">
        <v>41</v>
      </c>
      <c r="X211" t="s">
        <v>43</v>
      </c>
      <c r="Y211" t="s">
        <v>44</v>
      </c>
      <c r="Z211">
        <v>456</v>
      </c>
      <c r="AA211" t="s">
        <v>81</v>
      </c>
      <c r="AB211" t="s">
        <v>82</v>
      </c>
      <c r="AC211">
        <v>7</v>
      </c>
      <c r="AG211" t="s">
        <v>43</v>
      </c>
      <c r="AH211" t="s">
        <v>44</v>
      </c>
      <c r="AI211" t="s">
        <v>77</v>
      </c>
      <c r="AJ211">
        <v>9.9092977904625713E-3</v>
      </c>
    </row>
    <row r="213" spans="1:52" x14ac:dyDescent="0.25">
      <c r="AX213" s="4"/>
      <c r="AY213" s="4"/>
      <c r="AZ213" s="4"/>
    </row>
    <row r="214" spans="1:52" s="2" customFormat="1" x14ac:dyDescent="0.25">
      <c r="A214" s="6" t="s">
        <v>0</v>
      </c>
      <c r="B214" s="6" t="s">
        <v>8</v>
      </c>
      <c r="C214" s="6" t="s">
        <v>1</v>
      </c>
      <c r="D214" s="6" t="s">
        <v>2</v>
      </c>
      <c r="E214" s="6" t="s">
        <v>61</v>
      </c>
      <c r="F214" s="6" t="s">
        <v>62</v>
      </c>
      <c r="G214" s="6" t="s">
        <v>63</v>
      </c>
      <c r="H214" s="6" t="s">
        <v>11</v>
      </c>
      <c r="I214" s="6" t="s">
        <v>12</v>
      </c>
      <c r="J214" s="6" t="s">
        <v>56</v>
      </c>
      <c r="K214" s="6" t="s">
        <v>55</v>
      </c>
      <c r="L214" s="6" t="s">
        <v>29</v>
      </c>
    </row>
    <row r="215" spans="1:52" s="5" customFormat="1" x14ac:dyDescent="0.25">
      <c r="A215" t="s">
        <v>80</v>
      </c>
      <c r="B215">
        <v>2025</v>
      </c>
      <c r="C215">
        <v>1</v>
      </c>
      <c r="D215" t="s">
        <v>31</v>
      </c>
      <c r="E215" t="s">
        <v>49</v>
      </c>
      <c r="F215" t="s">
        <v>50</v>
      </c>
      <c r="G215" t="s">
        <v>34</v>
      </c>
      <c r="H215" t="s">
        <v>35</v>
      </c>
      <c r="I215">
        <v>127160</v>
      </c>
      <c r="J215" t="s">
        <v>60</v>
      </c>
      <c r="K215" t="s">
        <v>73</v>
      </c>
      <c r="L215"/>
    </row>
    <row r="216" spans="1:52" s="5" customFormat="1" x14ac:dyDescent="0.25">
      <c r="A216" t="s">
        <v>80</v>
      </c>
      <c r="B216">
        <v>2025</v>
      </c>
      <c r="C216">
        <v>1</v>
      </c>
      <c r="D216" t="s">
        <v>31</v>
      </c>
      <c r="E216" t="s">
        <v>49</v>
      </c>
      <c r="F216" t="s">
        <v>78</v>
      </c>
      <c r="G216" t="s">
        <v>34</v>
      </c>
      <c r="H216" t="s">
        <v>35</v>
      </c>
      <c r="I216">
        <v>127160</v>
      </c>
      <c r="J216" t="s">
        <v>60</v>
      </c>
      <c r="K216" t="s">
        <v>73</v>
      </c>
      <c r="L216"/>
    </row>
    <row r="217" spans="1:52" x14ac:dyDescent="0.25">
      <c r="A217" t="s">
        <v>80</v>
      </c>
      <c r="B217">
        <v>2025</v>
      </c>
      <c r="C217">
        <v>1</v>
      </c>
      <c r="D217" t="s">
        <v>31</v>
      </c>
      <c r="E217" t="s">
        <v>49</v>
      </c>
      <c r="F217" t="s">
        <v>79</v>
      </c>
      <c r="G217" t="s">
        <v>34</v>
      </c>
      <c r="H217" t="s">
        <v>35</v>
      </c>
      <c r="I217">
        <v>127160</v>
      </c>
      <c r="J217" t="s">
        <v>60</v>
      </c>
      <c r="K217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B9ED-F223-43C8-86AF-6B35937AFA7D}">
  <sheetPr>
    <tabColor rgb="FF00B050"/>
  </sheetPr>
  <dimension ref="A1:AE20"/>
  <sheetViews>
    <sheetView zoomScale="70" zoomScaleNormal="70" workbookViewId="0">
      <selection activeCell="Q1" sqref="Q1:W1"/>
    </sheetView>
  </sheetViews>
  <sheetFormatPr defaultRowHeight="15" x14ac:dyDescent="0.25"/>
  <cols>
    <col min="1" max="1" width="16.5703125" customWidth="1"/>
    <col min="2" max="2" width="30.85546875" customWidth="1"/>
    <col min="3" max="3" width="11" customWidth="1"/>
    <col min="4" max="4" width="47.140625" customWidth="1"/>
    <col min="5" max="5" width="38.5703125" customWidth="1"/>
    <col min="6" max="6" width="41.7109375" customWidth="1"/>
    <col min="7" max="7" width="44.42578125" customWidth="1"/>
    <col min="8" max="8" width="31.7109375" customWidth="1"/>
    <col min="9" max="9" width="33.7109375" customWidth="1"/>
    <col min="10" max="10" width="31.85546875" customWidth="1"/>
    <col min="11" max="12" width="22.28515625" customWidth="1"/>
    <col min="13" max="13" width="18.28515625" customWidth="1"/>
    <col min="14" max="14" width="24.5703125" customWidth="1"/>
    <col min="15" max="15" width="18.7109375" bestFit="1" customWidth="1"/>
    <col min="16" max="16" width="12.42578125" customWidth="1"/>
    <col min="17" max="17" width="16.28515625" bestFit="1" customWidth="1"/>
    <col min="18" max="18" width="14" bestFit="1" customWidth="1"/>
    <col min="19" max="19" width="21" customWidth="1"/>
    <col min="20" max="20" width="28.140625" customWidth="1"/>
    <col min="21" max="21" width="31" bestFit="1" customWidth="1"/>
    <col min="22" max="22" width="26.42578125" bestFit="1" customWidth="1"/>
    <col min="23" max="23" width="39.7109375" bestFit="1" customWidth="1"/>
    <col min="24" max="24" width="39.7109375" customWidth="1"/>
    <col min="25" max="25" width="39.7109375" bestFit="1" customWidth="1"/>
    <col min="26" max="26" width="39.7109375" customWidth="1"/>
    <col min="27" max="27" width="39.7109375" bestFit="1" customWidth="1"/>
    <col min="28" max="28" width="37.28515625" customWidth="1"/>
    <col min="29" max="29" width="19.5703125" bestFit="1" customWidth="1"/>
    <col min="30" max="30" width="17" customWidth="1"/>
    <col min="31" max="31" width="21.7109375" customWidth="1"/>
    <col min="32" max="32" width="12.7109375" bestFit="1" customWidth="1"/>
    <col min="33" max="33" width="12.5703125" bestFit="1" customWidth="1"/>
    <col min="34" max="34" width="14.140625" customWidth="1"/>
    <col min="35" max="35" width="23.140625" bestFit="1" customWidth="1"/>
    <col min="36" max="36" width="24.5703125" bestFit="1" customWidth="1"/>
    <col min="37" max="37" width="27.42578125" customWidth="1"/>
    <col min="38" max="38" width="21.85546875" customWidth="1"/>
    <col min="39" max="39" width="23" customWidth="1"/>
    <col min="40" max="40" width="12.7109375" bestFit="1" customWidth="1"/>
    <col min="41" max="41" width="11.42578125" customWidth="1"/>
  </cols>
  <sheetData>
    <row r="1" spans="1:31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30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25">
      <c r="A3" t="s">
        <v>30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25">
      <c r="A4" t="s">
        <v>30</v>
      </c>
      <c r="B4">
        <v>2025</v>
      </c>
      <c r="C4">
        <v>1</v>
      </c>
      <c r="D4" t="s">
        <v>31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25">
      <c r="A5" t="s">
        <v>30</v>
      </c>
      <c r="B5">
        <v>2025</v>
      </c>
      <c r="C5">
        <v>1</v>
      </c>
      <c r="D5" t="s">
        <v>31</v>
      </c>
      <c r="E5" t="s">
        <v>49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25">
      <c r="A6" t="s">
        <v>30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25">
      <c r="A7" t="s">
        <v>30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25">
      <c r="A8" t="s">
        <v>30</v>
      </c>
      <c r="B8">
        <v>2025</v>
      </c>
      <c r="C8">
        <v>1</v>
      </c>
      <c r="D8" t="s">
        <v>31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25">
      <c r="A9" t="s">
        <v>30</v>
      </c>
      <c r="B9">
        <v>2025</v>
      </c>
      <c r="C9">
        <v>1</v>
      </c>
      <c r="D9" t="s">
        <v>31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25">
      <c r="A10" t="s">
        <v>30</v>
      </c>
      <c r="B10">
        <v>2025</v>
      </c>
      <c r="C10">
        <v>1</v>
      </c>
      <c r="D10" t="s">
        <v>31</v>
      </c>
      <c r="E10" t="s">
        <v>49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523.418731364515</v>
      </c>
    </row>
    <row r="11" spans="1:31" x14ac:dyDescent="0.25">
      <c r="A11" t="s">
        <v>30</v>
      </c>
      <c r="B11">
        <v>2025</v>
      </c>
      <c r="C11">
        <v>1</v>
      </c>
      <c r="D11" t="s">
        <v>31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1819.45994532345</v>
      </c>
    </row>
    <row r="12" spans="1:31" x14ac:dyDescent="0.25">
      <c r="A12" t="s">
        <v>30</v>
      </c>
      <c r="B12">
        <v>2025</v>
      </c>
      <c r="C12">
        <v>1</v>
      </c>
      <c r="D12" t="s">
        <v>31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206.82454807327201</v>
      </c>
    </row>
    <row r="13" spans="1:31" x14ac:dyDescent="0.25">
      <c r="A13" t="s">
        <v>30</v>
      </c>
      <c r="B13">
        <v>2025</v>
      </c>
      <c r="C13">
        <v>1</v>
      </c>
      <c r="D13" t="s">
        <v>31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25">
      <c r="A14" t="s">
        <v>30</v>
      </c>
      <c r="B14">
        <v>2025</v>
      </c>
      <c r="C14">
        <v>1</v>
      </c>
      <c r="D14" t="s">
        <v>31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25">
      <c r="A15" t="s">
        <v>30</v>
      </c>
      <c r="B15">
        <v>2025</v>
      </c>
      <c r="C15">
        <v>1</v>
      </c>
      <c r="D15" t="s">
        <v>31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7" spans="1:27" s="2" customFormat="1" x14ac:dyDescent="0.25">
      <c r="A17" s="1" t="s">
        <v>0</v>
      </c>
      <c r="B17" s="1" t="s">
        <v>8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6</v>
      </c>
      <c r="H17" s="1" t="s">
        <v>7</v>
      </c>
      <c r="I17" s="1" t="s">
        <v>83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58</v>
      </c>
      <c r="W17" s="1" t="s">
        <v>56</v>
      </c>
      <c r="X17" s="1" t="s">
        <v>54</v>
      </c>
      <c r="Y17" s="1" t="s">
        <v>55</v>
      </c>
      <c r="Z17" s="1" t="s">
        <v>57</v>
      </c>
      <c r="AA17" s="1" t="s">
        <v>29</v>
      </c>
    </row>
    <row r="18" spans="1:27" x14ac:dyDescent="0.25">
      <c r="A18" t="s">
        <v>59</v>
      </c>
      <c r="B18">
        <v>2025</v>
      </c>
      <c r="C18">
        <v>1</v>
      </c>
      <c r="D18" t="s">
        <v>31</v>
      </c>
      <c r="E18" t="s">
        <v>49</v>
      </c>
      <c r="F18" t="s">
        <v>50</v>
      </c>
      <c r="G18" t="s">
        <v>33</v>
      </c>
      <c r="H18" t="s">
        <v>32</v>
      </c>
      <c r="J18">
        <v>2024</v>
      </c>
      <c r="K18" t="s">
        <v>34</v>
      </c>
      <c r="L18" t="s">
        <v>35</v>
      </c>
      <c r="M18">
        <v>127160</v>
      </c>
      <c r="N18" t="s">
        <v>36</v>
      </c>
      <c r="O18" t="s">
        <v>37</v>
      </c>
      <c r="P18">
        <v>1</v>
      </c>
      <c r="Q18" t="s">
        <v>38</v>
      </c>
      <c r="R18" t="s">
        <v>39</v>
      </c>
      <c r="T18" t="s">
        <v>40</v>
      </c>
      <c r="U18" t="s">
        <v>41</v>
      </c>
      <c r="V18">
        <v>2.3996350197070956E-2</v>
      </c>
      <c r="W18" t="s">
        <v>60</v>
      </c>
      <c r="X18" t="s">
        <v>53</v>
      </c>
      <c r="Y18" t="s">
        <v>43</v>
      </c>
      <c r="Z18">
        <f>SUM(Z6)</f>
        <v>249986.1</v>
      </c>
    </row>
    <row r="19" spans="1:27" x14ac:dyDescent="0.25">
      <c r="A19" t="s">
        <v>59</v>
      </c>
      <c r="B19">
        <v>2025</v>
      </c>
      <c r="C19">
        <v>1</v>
      </c>
      <c r="D19" t="s">
        <v>31</v>
      </c>
      <c r="E19" t="s">
        <v>49</v>
      </c>
      <c r="F19" t="s">
        <v>50</v>
      </c>
      <c r="G19" t="s">
        <v>46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47</v>
      </c>
      <c r="P19">
        <v>2024</v>
      </c>
      <c r="Q19" t="s">
        <v>38</v>
      </c>
      <c r="R19" t="s">
        <v>48</v>
      </c>
      <c r="T19" t="s">
        <v>40</v>
      </c>
      <c r="U19" t="s">
        <v>41</v>
      </c>
      <c r="V19">
        <v>5.7017641663284616E-2</v>
      </c>
      <c r="W19" t="s">
        <v>60</v>
      </c>
      <c r="X19" t="s">
        <v>53</v>
      </c>
      <c r="Y19" t="s">
        <v>43</v>
      </c>
      <c r="Z19">
        <f>SUM(Z7:Z7)</f>
        <v>672669</v>
      </c>
    </row>
    <row r="20" spans="1:27" x14ac:dyDescent="0.25">
      <c r="A20" t="s">
        <v>59</v>
      </c>
      <c r="B20">
        <v>2025</v>
      </c>
      <c r="C20">
        <v>1</v>
      </c>
      <c r="D20" t="s">
        <v>31</v>
      </c>
      <c r="E20" t="s">
        <v>49</v>
      </c>
      <c r="F20" t="s">
        <v>78</v>
      </c>
      <c r="G20" t="s">
        <v>84</v>
      </c>
      <c r="H20" t="s">
        <v>32</v>
      </c>
      <c r="J20">
        <v>2024</v>
      </c>
      <c r="K20" t="s">
        <v>34</v>
      </c>
      <c r="L20" t="s">
        <v>35</v>
      </c>
      <c r="M20">
        <v>127160</v>
      </c>
      <c r="N20" t="s">
        <v>36</v>
      </c>
      <c r="O20" t="s">
        <v>47</v>
      </c>
      <c r="P20">
        <v>2024</v>
      </c>
      <c r="Q20" t="s">
        <v>38</v>
      </c>
      <c r="R20" t="s">
        <v>39</v>
      </c>
      <c r="T20" t="s">
        <v>40</v>
      </c>
      <c r="U20" t="s">
        <v>41</v>
      </c>
      <c r="V20">
        <v>5.9766999524488829E-2</v>
      </c>
      <c r="W20" t="s">
        <v>60</v>
      </c>
      <c r="X20" t="s">
        <v>53</v>
      </c>
      <c r="Y20" t="s">
        <v>43</v>
      </c>
      <c r="Z20">
        <f>Z8</f>
        <v>210300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67D-9E41-4DB5-A11E-80AE37F79CC6}">
  <sheetPr>
    <tabColor rgb="FF00B050"/>
  </sheetPr>
  <dimension ref="A1:AZ203"/>
  <sheetViews>
    <sheetView topLeftCell="J19" zoomScale="60" zoomScaleNormal="60" workbookViewId="0">
      <selection activeCell="AJ20" sqref="AJ20"/>
    </sheetView>
  </sheetViews>
  <sheetFormatPr defaultRowHeight="15" x14ac:dyDescent="0.25"/>
  <cols>
    <col min="1" max="1" width="15.140625" customWidth="1"/>
    <col min="2" max="2" width="24" customWidth="1"/>
    <col min="3" max="3" width="10.7109375" customWidth="1"/>
    <col min="4" max="4" width="34" customWidth="1"/>
    <col min="5" max="5" width="46.5703125" customWidth="1"/>
    <col min="6" max="6" width="47.28515625" customWidth="1"/>
    <col min="7" max="7" width="54" customWidth="1"/>
    <col min="8" max="8" width="30" customWidth="1"/>
    <col min="9" max="9" width="44.140625" bestFit="1" customWidth="1"/>
    <col min="10" max="10" width="22.7109375" bestFit="1" customWidth="1"/>
    <col min="11" max="11" width="25.42578125" customWidth="1"/>
    <col min="12" max="12" width="42.85546875" bestFit="1" customWidth="1"/>
    <col min="13" max="13" width="22.7109375" bestFit="1" customWidth="1"/>
    <col min="14" max="14" width="26.28515625" customWidth="1"/>
    <col min="15" max="15" width="17.42578125" bestFit="1" customWidth="1"/>
    <col min="16" max="16" width="19.28515625" bestFit="1" customWidth="1"/>
    <col min="17" max="17" width="18.7109375" bestFit="1" customWidth="1"/>
    <col min="18" max="18" width="17.7109375" bestFit="1" customWidth="1"/>
    <col min="19" max="19" width="16.7109375" bestFit="1" customWidth="1"/>
    <col min="20" max="20" width="23.85546875" customWidth="1"/>
    <col min="21" max="21" width="32.7109375" bestFit="1" customWidth="1"/>
    <col min="22" max="22" width="34.140625" customWidth="1"/>
    <col min="23" max="23" width="26.42578125" bestFit="1" customWidth="1"/>
    <col min="24" max="24" width="27.5703125" bestFit="1" customWidth="1"/>
    <col min="25" max="25" width="40.42578125" bestFit="1" customWidth="1"/>
    <col min="26" max="26" width="48" customWidth="1"/>
    <col min="27" max="27" width="40.5703125" customWidth="1"/>
    <col min="28" max="30" width="28" customWidth="1"/>
    <col min="31" max="31" width="24.7109375" customWidth="1"/>
    <col min="32" max="32" width="23.5703125" customWidth="1"/>
    <col min="33" max="33" width="18.7109375" customWidth="1"/>
    <col min="34" max="34" width="27.28515625" customWidth="1"/>
    <col min="35" max="35" width="32" bestFit="1" customWidth="1"/>
    <col min="36" max="36" width="32.42578125" customWidth="1"/>
    <col min="37" max="37" width="19.28515625" bestFit="1" customWidth="1"/>
    <col min="38" max="38" width="28.7109375" customWidth="1"/>
    <col min="39" max="39" width="13.7109375" bestFit="1" customWidth="1"/>
    <col min="40" max="40" width="12" bestFit="1" customWidth="1"/>
    <col min="41" max="41" width="16.28515625" customWidth="1"/>
    <col min="42" max="42" width="11" bestFit="1" customWidth="1"/>
    <col min="43" max="43" width="13.7109375" bestFit="1" customWidth="1"/>
    <col min="44" max="44" width="13.28515625" bestFit="1" customWidth="1"/>
    <col min="45" max="45" width="25.42578125" bestFit="1" customWidth="1"/>
    <col min="46" max="46" width="16.28515625" customWidth="1"/>
    <col min="47" max="47" width="17.85546875" bestFit="1" customWidth="1"/>
    <col min="48" max="48" width="15.28515625" bestFit="1" customWidth="1"/>
    <col min="49" max="49" width="11.28515625" bestFit="1" customWidth="1"/>
    <col min="50" max="50" width="13.140625" bestFit="1" customWidth="1"/>
    <col min="51" max="51" width="9.7109375" bestFit="1" customWidth="1"/>
    <col min="52" max="52" width="12" bestFit="1" customWidth="1"/>
  </cols>
  <sheetData>
    <row r="1" spans="1:44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25">
      <c r="A2" t="s">
        <v>72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25">
      <c r="A3" t="s">
        <v>72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25">
      <c r="A4" t="s">
        <v>72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25">
      <c r="A5" t="s">
        <v>72</v>
      </c>
      <c r="B5">
        <v>2025</v>
      </c>
      <c r="C5">
        <v>1</v>
      </c>
      <c r="D5" t="s">
        <v>31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25">
      <c r="A6" t="s">
        <v>72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25">
      <c r="A7" t="s">
        <v>72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25">
      <c r="A8" t="s">
        <v>72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25">
      <c r="A9" t="s">
        <v>72</v>
      </c>
      <c r="B9">
        <v>2025</v>
      </c>
      <c r="C9">
        <v>1</v>
      </c>
      <c r="D9" t="s">
        <v>31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25">
      <c r="A10" t="s">
        <v>72</v>
      </c>
      <c r="B10">
        <v>2025</v>
      </c>
      <c r="C10">
        <v>1</v>
      </c>
      <c r="D10" t="s">
        <v>31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25">
      <c r="A11" t="s">
        <v>72</v>
      </c>
      <c r="B11">
        <v>2025</v>
      </c>
      <c r="C11">
        <v>1</v>
      </c>
      <c r="D11" t="s">
        <v>31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25">
      <c r="A12" t="s">
        <v>72</v>
      </c>
      <c r="B12">
        <v>2025</v>
      </c>
      <c r="C12">
        <v>1</v>
      </c>
      <c r="D12" t="s">
        <v>31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25">
      <c r="A13" t="s">
        <v>72</v>
      </c>
      <c r="B13">
        <v>2025</v>
      </c>
      <c r="C13">
        <v>1</v>
      </c>
      <c r="D13" t="s">
        <v>31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25">
      <c r="A14" t="s">
        <v>72</v>
      </c>
      <c r="B14">
        <v>2025</v>
      </c>
      <c r="C14">
        <v>1</v>
      </c>
      <c r="D14" t="s">
        <v>31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25">
      <c r="A15" t="s">
        <v>72</v>
      </c>
      <c r="B15">
        <v>2025</v>
      </c>
      <c r="C15">
        <v>1</v>
      </c>
      <c r="D15" t="s">
        <v>31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25">
      <c r="A16" t="s">
        <v>72</v>
      </c>
      <c r="B16">
        <v>2025</v>
      </c>
      <c r="C16">
        <v>1</v>
      </c>
      <c r="D16" t="s">
        <v>31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25">
      <c r="A17" t="s">
        <v>72</v>
      </c>
      <c r="B17">
        <v>2025</v>
      </c>
      <c r="C17">
        <v>1</v>
      </c>
      <c r="D17" t="s">
        <v>31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25">
      <c r="A18" t="s">
        <v>72</v>
      </c>
      <c r="B18">
        <v>2025</v>
      </c>
      <c r="C18">
        <v>1</v>
      </c>
      <c r="D18" t="s">
        <v>31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25">
      <c r="A19" t="s">
        <v>72</v>
      </c>
      <c r="B19">
        <v>2025</v>
      </c>
      <c r="C19">
        <v>1</v>
      </c>
      <c r="D19" t="s">
        <v>31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25">
      <c r="A20" t="s">
        <v>72</v>
      </c>
      <c r="B20">
        <v>2025</v>
      </c>
      <c r="C20">
        <v>1</v>
      </c>
      <c r="D20" t="s">
        <v>31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25">
      <c r="A21" t="s">
        <v>72</v>
      </c>
      <c r="B21">
        <v>2025</v>
      </c>
      <c r="C21">
        <v>1</v>
      </c>
      <c r="D21" t="s">
        <v>31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25">
      <c r="A22" t="s">
        <v>72</v>
      </c>
      <c r="B22">
        <v>2025</v>
      </c>
      <c r="C22">
        <v>1</v>
      </c>
      <c r="D22" t="s">
        <v>31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25">
      <c r="A23" t="s">
        <v>72</v>
      </c>
      <c r="B23">
        <v>2025</v>
      </c>
      <c r="C23">
        <v>1</v>
      </c>
      <c r="D23" t="s">
        <v>31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25">
      <c r="A24" t="s">
        <v>72</v>
      </c>
      <c r="B24">
        <v>2025</v>
      </c>
      <c r="C24">
        <v>1</v>
      </c>
      <c r="D24" t="s">
        <v>31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25">
      <c r="A25" t="s">
        <v>72</v>
      </c>
      <c r="B25">
        <v>2025</v>
      </c>
      <c r="C25">
        <v>1</v>
      </c>
      <c r="D25" t="s">
        <v>31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25">
      <c r="A26" t="s">
        <v>72</v>
      </c>
      <c r="B26">
        <v>2025</v>
      </c>
      <c r="C26">
        <v>1</v>
      </c>
      <c r="D26" t="s">
        <v>31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25">
      <c r="A27" t="s">
        <v>72</v>
      </c>
      <c r="B27">
        <v>2025</v>
      </c>
      <c r="C27">
        <v>1</v>
      </c>
      <c r="D27" t="s">
        <v>31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25">
      <c r="A28" t="s">
        <v>72</v>
      </c>
      <c r="B28">
        <v>2025</v>
      </c>
      <c r="C28">
        <v>1</v>
      </c>
      <c r="D28" t="s">
        <v>31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25">
      <c r="A29" t="s">
        <v>72</v>
      </c>
      <c r="B29">
        <v>2025</v>
      </c>
      <c r="C29">
        <v>1</v>
      </c>
      <c r="D29" t="s">
        <v>31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25">
      <c r="A30" t="s">
        <v>72</v>
      </c>
      <c r="B30">
        <v>2025</v>
      </c>
      <c r="C30">
        <v>1</v>
      </c>
      <c r="D30" t="s">
        <v>31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25">
      <c r="A31" t="s">
        <v>72</v>
      </c>
      <c r="B31">
        <v>2025</v>
      </c>
      <c r="C31">
        <v>1</v>
      </c>
      <c r="D31" t="s">
        <v>31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25">
      <c r="A32" t="s">
        <v>72</v>
      </c>
      <c r="B32">
        <v>2025</v>
      </c>
      <c r="C32">
        <v>1</v>
      </c>
      <c r="D32" t="s">
        <v>31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25">
      <c r="A33" t="s">
        <v>72</v>
      </c>
      <c r="B33">
        <v>2025</v>
      </c>
      <c r="C33">
        <v>1</v>
      </c>
      <c r="D33" t="s">
        <v>31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25">
      <c r="A34" t="s">
        <v>72</v>
      </c>
      <c r="B34">
        <v>2025</v>
      </c>
      <c r="C34">
        <v>1</v>
      </c>
      <c r="D34" t="s">
        <v>31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25">
      <c r="A35" t="s">
        <v>72</v>
      </c>
      <c r="B35">
        <v>2025</v>
      </c>
      <c r="C35">
        <v>1</v>
      </c>
      <c r="D35" t="s">
        <v>31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25">
      <c r="A36" t="s">
        <v>72</v>
      </c>
      <c r="B36">
        <v>2025</v>
      </c>
      <c r="C36">
        <v>1</v>
      </c>
      <c r="D36" t="s">
        <v>31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25">
      <c r="A37" t="s">
        <v>72</v>
      </c>
      <c r="B37">
        <v>2025</v>
      </c>
      <c r="C37">
        <v>1</v>
      </c>
      <c r="D37" t="s">
        <v>31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25">
      <c r="A38" t="s">
        <v>72</v>
      </c>
      <c r="B38">
        <v>2025</v>
      </c>
      <c r="C38">
        <v>1</v>
      </c>
      <c r="D38" t="s">
        <v>31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25">
      <c r="A39" t="s">
        <v>72</v>
      </c>
      <c r="B39">
        <v>2025</v>
      </c>
      <c r="C39">
        <v>1</v>
      </c>
      <c r="D39" t="s">
        <v>31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25">
      <c r="A40" t="s">
        <v>72</v>
      </c>
      <c r="B40">
        <v>2025</v>
      </c>
      <c r="C40">
        <v>1</v>
      </c>
      <c r="D40" t="s">
        <v>31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25">
      <c r="A41" t="s">
        <v>72</v>
      </c>
      <c r="B41">
        <v>2025</v>
      </c>
      <c r="C41">
        <v>1</v>
      </c>
      <c r="D41" t="s">
        <v>31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25">
      <c r="A42" t="s">
        <v>72</v>
      </c>
      <c r="B42">
        <v>2025</v>
      </c>
      <c r="C42">
        <v>1</v>
      </c>
      <c r="D42" t="s">
        <v>31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25">
      <c r="A43" t="s">
        <v>72</v>
      </c>
      <c r="B43">
        <v>2025</v>
      </c>
      <c r="C43">
        <v>1</v>
      </c>
      <c r="D43" t="s">
        <v>31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25">
      <c r="A44" t="s">
        <v>72</v>
      </c>
      <c r="B44">
        <v>2025</v>
      </c>
      <c r="C44">
        <v>1</v>
      </c>
      <c r="D44" t="s">
        <v>31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523.418731364515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1.6457259984233616</v>
      </c>
    </row>
    <row r="45" spans="1:36" x14ac:dyDescent="0.25">
      <c r="A45" t="s">
        <v>72</v>
      </c>
      <c r="B45">
        <v>2025</v>
      </c>
      <c r="C45">
        <v>1</v>
      </c>
      <c r="D45" t="s">
        <v>31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523.418731364515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2.4049650259128996</v>
      </c>
    </row>
    <row r="46" spans="1:36" x14ac:dyDescent="0.25">
      <c r="A46" t="s">
        <v>72</v>
      </c>
      <c r="B46">
        <v>2025</v>
      </c>
      <c r="C46">
        <v>1</v>
      </c>
      <c r="D46" t="s">
        <v>31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523.418731364515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0.77081447567769235</v>
      </c>
    </row>
    <row r="47" spans="1:36" x14ac:dyDescent="0.25">
      <c r="A47" t="s">
        <v>72</v>
      </c>
      <c r="B47">
        <v>2025</v>
      </c>
      <c r="C47">
        <v>1</v>
      </c>
      <c r="D47" t="s">
        <v>31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523.418731364515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8.9411303482519937</v>
      </c>
    </row>
    <row r="48" spans="1:36" x14ac:dyDescent="0.25">
      <c r="A48" t="s">
        <v>72</v>
      </c>
      <c r="B48">
        <v>2025</v>
      </c>
      <c r="C48">
        <v>1</v>
      </c>
      <c r="D48" t="s">
        <v>31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523.418731364515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13.240341575382008</v>
      </c>
    </row>
    <row r="49" spans="1:36" x14ac:dyDescent="0.25">
      <c r="A49" t="s">
        <v>72</v>
      </c>
      <c r="B49">
        <v>2025</v>
      </c>
      <c r="C49">
        <v>1</v>
      </c>
      <c r="D49" t="s">
        <v>31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523.418731364515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13.129486355428321</v>
      </c>
    </row>
    <row r="50" spans="1:36" x14ac:dyDescent="0.25">
      <c r="A50" t="s">
        <v>72</v>
      </c>
      <c r="B50">
        <v>2025</v>
      </c>
      <c r="C50">
        <v>1</v>
      </c>
      <c r="D50" t="s">
        <v>31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523.418731364515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18.967528467041134</v>
      </c>
    </row>
    <row r="51" spans="1:36" x14ac:dyDescent="0.25">
      <c r="A51" t="s">
        <v>72</v>
      </c>
      <c r="B51">
        <v>2025</v>
      </c>
      <c r="C51">
        <v>1</v>
      </c>
      <c r="D51" t="s">
        <v>31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523.418731364515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25">
      <c r="A52" t="s">
        <v>72</v>
      </c>
      <c r="B52">
        <v>2025</v>
      </c>
      <c r="C52">
        <v>1</v>
      </c>
      <c r="D52" t="s">
        <v>31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523.418731364515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25">
      <c r="A53" t="s">
        <v>72</v>
      </c>
      <c r="B53">
        <v>2025</v>
      </c>
      <c r="C53">
        <v>1</v>
      </c>
      <c r="D53" t="s">
        <v>31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523.418731364515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25">
      <c r="A54" t="s">
        <v>72</v>
      </c>
      <c r="B54">
        <v>2025</v>
      </c>
      <c r="C54">
        <v>1</v>
      </c>
      <c r="D54" t="s">
        <v>31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523.418731364515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25">
      <c r="A55" t="s">
        <v>72</v>
      </c>
      <c r="B55">
        <v>2025</v>
      </c>
      <c r="C55">
        <v>1</v>
      </c>
      <c r="D55" t="s">
        <v>31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523.418731364515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25">
      <c r="A56" t="s">
        <v>72</v>
      </c>
      <c r="B56">
        <v>2025</v>
      </c>
      <c r="C56">
        <v>1</v>
      </c>
      <c r="D56" t="s">
        <v>31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523.418731364515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25">
      <c r="A57" t="s">
        <v>72</v>
      </c>
      <c r="B57">
        <v>2025</v>
      </c>
      <c r="C57">
        <v>1</v>
      </c>
      <c r="D57" t="s">
        <v>31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523.418731364515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25">
      <c r="A58" t="s">
        <v>72</v>
      </c>
      <c r="B58">
        <v>2025</v>
      </c>
      <c r="C58">
        <v>1</v>
      </c>
      <c r="D58" t="s">
        <v>31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25">
      <c r="A59" t="s">
        <v>72</v>
      </c>
      <c r="B59">
        <v>2025</v>
      </c>
      <c r="C59">
        <v>1</v>
      </c>
      <c r="D59" t="s">
        <v>31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25">
      <c r="A60" t="s">
        <v>72</v>
      </c>
      <c r="B60">
        <v>2025</v>
      </c>
      <c r="C60">
        <v>1</v>
      </c>
      <c r="D60" t="s">
        <v>31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25">
      <c r="A61" t="s">
        <v>72</v>
      </c>
      <c r="B61">
        <v>2025</v>
      </c>
      <c r="C61">
        <v>1</v>
      </c>
      <c r="D61" t="s">
        <v>31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25">
      <c r="A62" t="s">
        <v>72</v>
      </c>
      <c r="B62">
        <v>2025</v>
      </c>
      <c r="C62">
        <v>1</v>
      </c>
      <c r="D62" t="s">
        <v>31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25">
      <c r="A63" t="s">
        <v>72</v>
      </c>
      <c r="B63">
        <v>2025</v>
      </c>
      <c r="C63">
        <v>1</v>
      </c>
      <c r="D63" t="s">
        <v>31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25">
      <c r="A64" t="s">
        <v>72</v>
      </c>
      <c r="B64">
        <v>2025</v>
      </c>
      <c r="C64">
        <v>1</v>
      </c>
      <c r="D64" t="s">
        <v>31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25">
      <c r="A65" t="s">
        <v>72</v>
      </c>
      <c r="B65">
        <v>2025</v>
      </c>
      <c r="C65">
        <v>1</v>
      </c>
      <c r="D65" t="s">
        <v>31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25">
      <c r="A66" t="s">
        <v>72</v>
      </c>
      <c r="B66">
        <v>2025</v>
      </c>
      <c r="C66">
        <v>1</v>
      </c>
      <c r="D66" t="s">
        <v>31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25">
      <c r="A67" t="s">
        <v>72</v>
      </c>
      <c r="B67">
        <v>2025</v>
      </c>
      <c r="C67">
        <v>1</v>
      </c>
      <c r="D67" t="s">
        <v>31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25">
      <c r="A68" t="s">
        <v>72</v>
      </c>
      <c r="B68">
        <v>2025</v>
      </c>
      <c r="C68">
        <v>1</v>
      </c>
      <c r="D68" t="s">
        <v>31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25">
      <c r="A69" t="s">
        <v>72</v>
      </c>
      <c r="B69">
        <v>2025</v>
      </c>
      <c r="C69">
        <v>1</v>
      </c>
      <c r="D69" t="s">
        <v>31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25">
      <c r="A70" t="s">
        <v>72</v>
      </c>
      <c r="B70">
        <v>2025</v>
      </c>
      <c r="C70">
        <v>1</v>
      </c>
      <c r="D70" t="s">
        <v>31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25">
      <c r="A71" t="s">
        <v>72</v>
      </c>
      <c r="B71">
        <v>2025</v>
      </c>
      <c r="C71">
        <v>1</v>
      </c>
      <c r="D71" t="s">
        <v>31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25">
      <c r="A72" t="s">
        <v>72</v>
      </c>
      <c r="B72">
        <v>2025</v>
      </c>
      <c r="C72">
        <v>1</v>
      </c>
      <c r="D72" t="s">
        <v>31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206.82454807327201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0.65029490822578895</v>
      </c>
    </row>
    <row r="73" spans="1:36" x14ac:dyDescent="0.25">
      <c r="A73" t="s">
        <v>72</v>
      </c>
      <c r="B73">
        <v>2025</v>
      </c>
      <c r="C73">
        <v>1</v>
      </c>
      <c r="D73" t="s">
        <v>31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206.82454807327201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0.95030188033156404</v>
      </c>
    </row>
    <row r="74" spans="1:36" x14ac:dyDescent="0.25">
      <c r="A74" t="s">
        <v>72</v>
      </c>
      <c r="B74">
        <v>2025</v>
      </c>
      <c r="C74">
        <v>1</v>
      </c>
      <c r="D74" t="s">
        <v>31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206.82454807327201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0.30458091395539022</v>
      </c>
    </row>
    <row r="75" spans="1:36" x14ac:dyDescent="0.25">
      <c r="A75" t="s">
        <v>72</v>
      </c>
      <c r="B75">
        <v>2025</v>
      </c>
      <c r="C75">
        <v>1</v>
      </c>
      <c r="D75" t="s">
        <v>31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206.82454807327201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3.5330131168989434</v>
      </c>
    </row>
    <row r="76" spans="1:36" x14ac:dyDescent="0.25">
      <c r="A76" t="s">
        <v>72</v>
      </c>
      <c r="B76">
        <v>2025</v>
      </c>
      <c r="C76">
        <v>1</v>
      </c>
      <c r="D76" t="s">
        <v>31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206.82454807327201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5.2318105917326534</v>
      </c>
    </row>
    <row r="77" spans="1:36" x14ac:dyDescent="0.25">
      <c r="A77" t="s">
        <v>72</v>
      </c>
      <c r="B77">
        <v>2025</v>
      </c>
      <c r="C77">
        <v>1</v>
      </c>
      <c r="D77" t="s">
        <v>31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206.82454807327201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5.1880070757432399</v>
      </c>
    </row>
    <row r="78" spans="1:36" x14ac:dyDescent="0.25">
      <c r="A78" t="s">
        <v>72</v>
      </c>
      <c r="B78">
        <v>2025</v>
      </c>
      <c r="C78">
        <v>1</v>
      </c>
      <c r="D78" t="s">
        <v>31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206.82454807327201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7.4948607456898895</v>
      </c>
    </row>
    <row r="79" spans="1:36" x14ac:dyDescent="0.25">
      <c r="A79" t="s">
        <v>72</v>
      </c>
      <c r="B79">
        <v>2025</v>
      </c>
      <c r="C79">
        <v>1</v>
      </c>
      <c r="D79" t="s">
        <v>31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206.82454807327201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25">
      <c r="A80" t="s">
        <v>72</v>
      </c>
      <c r="B80">
        <v>2025</v>
      </c>
      <c r="C80">
        <v>1</v>
      </c>
      <c r="D80" t="s">
        <v>31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206.82454807327201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25">
      <c r="A81" t="s">
        <v>72</v>
      </c>
      <c r="B81">
        <v>2025</v>
      </c>
      <c r="C81">
        <v>1</v>
      </c>
      <c r="D81" t="s">
        <v>31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206.82454807327201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25">
      <c r="A82" t="s">
        <v>72</v>
      </c>
      <c r="B82">
        <v>2025</v>
      </c>
      <c r="C82">
        <v>1</v>
      </c>
      <c r="D82" t="s">
        <v>31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206.82454807327201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25">
      <c r="A83" t="s">
        <v>72</v>
      </c>
      <c r="B83">
        <v>2025</v>
      </c>
      <c r="C83">
        <v>1</v>
      </c>
      <c r="D83" t="s">
        <v>31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206.82454807327201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25">
      <c r="A84" t="s">
        <v>72</v>
      </c>
      <c r="B84">
        <v>2025</v>
      </c>
      <c r="C84">
        <v>1</v>
      </c>
      <c r="D84" t="s">
        <v>31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206.82454807327201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25">
      <c r="A85" t="s">
        <v>72</v>
      </c>
      <c r="B85">
        <v>2025</v>
      </c>
      <c r="C85">
        <v>1</v>
      </c>
      <c r="D85" t="s">
        <v>31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206.82454807327201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25">
      <c r="A86" t="s">
        <v>72</v>
      </c>
      <c r="B86">
        <v>2025</v>
      </c>
      <c r="C86">
        <v>1</v>
      </c>
      <c r="D86" t="s">
        <v>31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1819.45994532345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5.7207210129884736</v>
      </c>
    </row>
    <row r="87" spans="1:36" x14ac:dyDescent="0.25">
      <c r="A87" t="s">
        <v>72</v>
      </c>
      <c r="B87">
        <v>2025</v>
      </c>
      <c r="C87">
        <v>1</v>
      </c>
      <c r="D87" t="s">
        <v>31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1819.45994532345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8.3599177338286328</v>
      </c>
    </row>
    <row r="88" spans="1:36" x14ac:dyDescent="0.25">
      <c r="A88" t="s">
        <v>72</v>
      </c>
      <c r="B88">
        <v>2025</v>
      </c>
      <c r="C88">
        <v>1</v>
      </c>
      <c r="D88" t="s">
        <v>31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1819.45994532345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2.6794342268090596</v>
      </c>
    </row>
    <row r="89" spans="1:36" x14ac:dyDescent="0.25">
      <c r="A89" t="s">
        <v>72</v>
      </c>
      <c r="B89">
        <v>2025</v>
      </c>
      <c r="C89">
        <v>1</v>
      </c>
      <c r="D89" t="s">
        <v>31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1819.45994532345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31.080333124782964</v>
      </c>
    </row>
    <row r="90" spans="1:36" x14ac:dyDescent="0.25">
      <c r="A90" t="s">
        <v>72</v>
      </c>
      <c r="B90">
        <v>2025</v>
      </c>
      <c r="C90">
        <v>1</v>
      </c>
      <c r="D90" t="s">
        <v>31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1819.45994532345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46.024854892003468</v>
      </c>
    </row>
    <row r="91" spans="1:36" x14ac:dyDescent="0.25">
      <c r="A91" t="s">
        <v>72</v>
      </c>
      <c r="B91">
        <v>2025</v>
      </c>
      <c r="C91">
        <v>1</v>
      </c>
      <c r="D91" t="s">
        <v>31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1819.45994532345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45.639510195014999</v>
      </c>
    </row>
    <row r="92" spans="1:36" x14ac:dyDescent="0.25">
      <c r="A92" t="s">
        <v>72</v>
      </c>
      <c r="B92">
        <v>2025</v>
      </c>
      <c r="C92">
        <v>1</v>
      </c>
      <c r="D92" t="s">
        <v>31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1819.45994532345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65.933174033716455</v>
      </c>
    </row>
    <row r="93" spans="1:36" x14ac:dyDescent="0.25">
      <c r="A93" t="s">
        <v>72</v>
      </c>
      <c r="B93">
        <v>2025</v>
      </c>
      <c r="C93">
        <v>1</v>
      </c>
      <c r="D93" t="s">
        <v>31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1819.45994532345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25">
      <c r="A94" t="s">
        <v>72</v>
      </c>
      <c r="B94">
        <v>2025</v>
      </c>
      <c r="C94">
        <v>1</v>
      </c>
      <c r="D94" t="s">
        <v>31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1819.45994532345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25">
      <c r="A95" t="s">
        <v>72</v>
      </c>
      <c r="B95">
        <v>2025</v>
      </c>
      <c r="C95">
        <v>1</v>
      </c>
      <c r="D95" t="s">
        <v>31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1819.45994532345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25">
      <c r="A96" t="s">
        <v>72</v>
      </c>
      <c r="B96">
        <v>2025</v>
      </c>
      <c r="C96">
        <v>1</v>
      </c>
      <c r="D96" t="s">
        <v>31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1819.45994532345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25">
      <c r="A97" t="s">
        <v>72</v>
      </c>
      <c r="B97">
        <v>2025</v>
      </c>
      <c r="C97">
        <v>1</v>
      </c>
      <c r="D97" t="s">
        <v>31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1819.45994532345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25">
      <c r="A98" t="s">
        <v>72</v>
      </c>
      <c r="B98">
        <v>2025</v>
      </c>
      <c r="C98">
        <v>1</v>
      </c>
      <c r="D98" t="s">
        <v>31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1819.45994532345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25">
      <c r="A99" t="s">
        <v>72</v>
      </c>
      <c r="B99">
        <v>2025</v>
      </c>
      <c r="C99">
        <v>1</v>
      </c>
      <c r="D99" t="s">
        <v>31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1819.45994532345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25">
      <c r="A100" t="s">
        <v>72</v>
      </c>
      <c r="B100">
        <v>2025</v>
      </c>
      <c r="C100">
        <v>1</v>
      </c>
      <c r="D100" t="s">
        <v>31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25">
      <c r="A101" t="s">
        <v>72</v>
      </c>
      <c r="B101">
        <v>2025</v>
      </c>
      <c r="C101">
        <v>1</v>
      </c>
      <c r="D101" t="s">
        <v>31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25">
      <c r="A102" t="s">
        <v>72</v>
      </c>
      <c r="B102">
        <v>2025</v>
      </c>
      <c r="C102">
        <v>1</v>
      </c>
      <c r="D102" t="s">
        <v>31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25">
      <c r="A103" t="s">
        <v>72</v>
      </c>
      <c r="B103">
        <v>2025</v>
      </c>
      <c r="C103">
        <v>1</v>
      </c>
      <c r="D103" t="s">
        <v>31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25">
      <c r="A104" t="s">
        <v>72</v>
      </c>
      <c r="B104">
        <v>2025</v>
      </c>
      <c r="C104">
        <v>1</v>
      </c>
      <c r="D104" t="s">
        <v>31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25">
      <c r="A105" t="s">
        <v>72</v>
      </c>
      <c r="B105">
        <v>2025</v>
      </c>
      <c r="C105">
        <v>1</v>
      </c>
      <c r="D105" t="s">
        <v>31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25">
      <c r="A106" t="s">
        <v>72</v>
      </c>
      <c r="B106">
        <v>2025</v>
      </c>
      <c r="C106">
        <v>1</v>
      </c>
      <c r="D106" t="s">
        <v>31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25">
      <c r="A107" t="s">
        <v>72</v>
      </c>
      <c r="B107">
        <v>2025</v>
      </c>
      <c r="C107">
        <v>1</v>
      </c>
      <c r="D107" t="s">
        <v>31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25">
      <c r="A108" t="s">
        <v>72</v>
      </c>
      <c r="B108">
        <v>2025</v>
      </c>
      <c r="C108">
        <v>1</v>
      </c>
      <c r="D108" t="s">
        <v>31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25">
      <c r="A109" t="s">
        <v>72</v>
      </c>
      <c r="B109">
        <v>2025</v>
      </c>
      <c r="C109">
        <v>1</v>
      </c>
      <c r="D109" t="s">
        <v>31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25">
      <c r="A110" t="s">
        <v>72</v>
      </c>
      <c r="B110">
        <v>2025</v>
      </c>
      <c r="C110">
        <v>1</v>
      </c>
      <c r="D110" t="s">
        <v>31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25">
      <c r="A111" t="s">
        <v>72</v>
      </c>
      <c r="B111">
        <v>2025</v>
      </c>
      <c r="C111">
        <v>1</v>
      </c>
      <c r="D111" t="s">
        <v>31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25">
      <c r="A112" t="s">
        <v>72</v>
      </c>
      <c r="B112">
        <v>2025</v>
      </c>
      <c r="C112">
        <v>1</v>
      </c>
      <c r="D112" t="s">
        <v>31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25">
      <c r="A113" t="s">
        <v>72</v>
      </c>
      <c r="B113">
        <v>2025</v>
      </c>
      <c r="C113">
        <v>1</v>
      </c>
      <c r="D113" t="s">
        <v>31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25">
      <c r="A114" t="s">
        <v>72</v>
      </c>
      <c r="B114">
        <v>2025</v>
      </c>
      <c r="C114">
        <v>1</v>
      </c>
      <c r="D114" t="s">
        <v>31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25">
      <c r="A115" t="s">
        <v>72</v>
      </c>
      <c r="B115">
        <v>2025</v>
      </c>
      <c r="C115">
        <v>1</v>
      </c>
      <c r="D115" t="s">
        <v>31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25">
      <c r="A116" t="s">
        <v>72</v>
      </c>
      <c r="B116">
        <v>2025</v>
      </c>
      <c r="C116">
        <v>1</v>
      </c>
      <c r="D116" t="s">
        <v>31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25">
      <c r="A117" t="s">
        <v>72</v>
      </c>
      <c r="B117">
        <v>2025</v>
      </c>
      <c r="C117">
        <v>1</v>
      </c>
      <c r="D117" t="s">
        <v>31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25">
      <c r="A118" t="s">
        <v>72</v>
      </c>
      <c r="B118">
        <v>2025</v>
      </c>
      <c r="C118">
        <v>1</v>
      </c>
      <c r="D118" t="s">
        <v>31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25">
      <c r="A119" t="s">
        <v>72</v>
      </c>
      <c r="B119">
        <v>2025</v>
      </c>
      <c r="C119">
        <v>1</v>
      </c>
      <c r="D119" t="s">
        <v>31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25">
      <c r="A120" t="s">
        <v>72</v>
      </c>
      <c r="B120">
        <v>2025</v>
      </c>
      <c r="C120">
        <v>1</v>
      </c>
      <c r="D120" t="s">
        <v>31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25">
      <c r="A121" t="s">
        <v>72</v>
      </c>
      <c r="B121">
        <v>2025</v>
      </c>
      <c r="C121">
        <v>1</v>
      </c>
      <c r="D121" t="s">
        <v>31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25">
      <c r="A122" t="s">
        <v>72</v>
      </c>
      <c r="B122">
        <v>2025</v>
      </c>
      <c r="C122">
        <v>1</v>
      </c>
      <c r="D122" t="s">
        <v>31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25">
      <c r="A123" t="s">
        <v>72</v>
      </c>
      <c r="B123">
        <v>2025</v>
      </c>
      <c r="C123">
        <v>1</v>
      </c>
      <c r="D123" t="s">
        <v>31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25">
      <c r="A124" t="s">
        <v>72</v>
      </c>
      <c r="B124">
        <v>2025</v>
      </c>
      <c r="C124">
        <v>1</v>
      </c>
      <c r="D124" t="s">
        <v>31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25">
      <c r="A125" t="s">
        <v>72</v>
      </c>
      <c r="B125">
        <v>2025</v>
      </c>
      <c r="C125">
        <v>1</v>
      </c>
      <c r="D125" t="s">
        <v>31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25">
      <c r="A126" t="s">
        <v>72</v>
      </c>
      <c r="B126">
        <v>2025</v>
      </c>
      <c r="C126">
        <v>1</v>
      </c>
      <c r="D126" t="s">
        <v>31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25">
      <c r="A127" t="s">
        <v>72</v>
      </c>
      <c r="B127">
        <v>2025</v>
      </c>
      <c r="C127">
        <v>1</v>
      </c>
      <c r="D127" t="s">
        <v>31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25">
      <c r="A128" t="s">
        <v>72</v>
      </c>
      <c r="B128">
        <v>2025</v>
      </c>
      <c r="C128">
        <v>1</v>
      </c>
      <c r="D128" t="s">
        <v>31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25">
      <c r="A129" t="s">
        <v>72</v>
      </c>
      <c r="B129">
        <v>2025</v>
      </c>
      <c r="C129">
        <v>1</v>
      </c>
      <c r="D129" t="s">
        <v>31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25">
      <c r="A130" t="s">
        <v>72</v>
      </c>
      <c r="B130">
        <v>2025</v>
      </c>
      <c r="C130">
        <v>1</v>
      </c>
      <c r="D130" t="s">
        <v>31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25">
      <c r="A131" t="s">
        <v>72</v>
      </c>
      <c r="B131">
        <v>2025</v>
      </c>
      <c r="C131">
        <v>1</v>
      </c>
      <c r="D131" t="s">
        <v>31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25">
      <c r="A132" t="s">
        <v>72</v>
      </c>
      <c r="B132">
        <v>2025</v>
      </c>
      <c r="C132">
        <v>1</v>
      </c>
      <c r="D132" t="s">
        <v>31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25">
      <c r="A133" t="s">
        <v>72</v>
      </c>
      <c r="B133">
        <v>2025</v>
      </c>
      <c r="C133">
        <v>1</v>
      </c>
      <c r="D133" t="s">
        <v>31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25">
      <c r="A134" t="s">
        <v>72</v>
      </c>
      <c r="B134">
        <v>2025</v>
      </c>
      <c r="C134">
        <v>1</v>
      </c>
      <c r="D134" t="s">
        <v>31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25">
      <c r="A135" t="s">
        <v>72</v>
      </c>
      <c r="B135">
        <v>2025</v>
      </c>
      <c r="C135">
        <v>1</v>
      </c>
      <c r="D135" t="s">
        <v>31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25">
      <c r="A136" t="s">
        <v>72</v>
      </c>
      <c r="B136">
        <v>2025</v>
      </c>
      <c r="C136">
        <v>1</v>
      </c>
      <c r="D136" t="s">
        <v>31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25">
      <c r="A137" t="s">
        <v>72</v>
      </c>
      <c r="B137">
        <v>2025</v>
      </c>
      <c r="C137">
        <v>1</v>
      </c>
      <c r="D137" t="s">
        <v>31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25">
      <c r="A138" t="s">
        <v>72</v>
      </c>
      <c r="B138">
        <v>2025</v>
      </c>
      <c r="C138">
        <v>1</v>
      </c>
      <c r="D138" t="s">
        <v>31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25">
      <c r="A139" t="s">
        <v>72</v>
      </c>
      <c r="B139">
        <v>2025</v>
      </c>
      <c r="C139">
        <v>1</v>
      </c>
      <c r="D139" t="s">
        <v>31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25">
      <c r="A140" t="s">
        <v>72</v>
      </c>
      <c r="B140">
        <v>2025</v>
      </c>
      <c r="C140">
        <v>1</v>
      </c>
      <c r="D140" t="s">
        <v>31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25">
      <c r="A141" t="s">
        <v>72</v>
      </c>
      <c r="B141">
        <v>2025</v>
      </c>
      <c r="C141">
        <v>1</v>
      </c>
      <c r="D141" t="s">
        <v>31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25">
      <c r="A142" t="s">
        <v>72</v>
      </c>
      <c r="B142">
        <v>2025</v>
      </c>
      <c r="C142">
        <v>1</v>
      </c>
      <c r="D142" t="s">
        <v>31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25">
      <c r="A143" t="s">
        <v>72</v>
      </c>
      <c r="B143">
        <v>2025</v>
      </c>
      <c r="C143">
        <v>1</v>
      </c>
      <c r="D143" t="s">
        <v>31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25">
      <c r="A144" t="s">
        <v>72</v>
      </c>
      <c r="B144">
        <v>2025</v>
      </c>
      <c r="C144">
        <v>1</v>
      </c>
      <c r="D144" t="s">
        <v>31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25">
      <c r="A145" t="s">
        <v>72</v>
      </c>
      <c r="B145">
        <v>2025</v>
      </c>
      <c r="C145">
        <v>1</v>
      </c>
      <c r="D145" t="s">
        <v>31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25">
      <c r="A146" t="s">
        <v>72</v>
      </c>
      <c r="B146">
        <v>2025</v>
      </c>
      <c r="C146">
        <v>1</v>
      </c>
      <c r="D146" t="s">
        <v>31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25">
      <c r="A147" t="s">
        <v>72</v>
      </c>
      <c r="B147">
        <v>2025</v>
      </c>
      <c r="C147">
        <v>1</v>
      </c>
      <c r="D147" t="s">
        <v>31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25">
      <c r="A148" t="s">
        <v>72</v>
      </c>
      <c r="B148">
        <v>2025</v>
      </c>
      <c r="C148">
        <v>1</v>
      </c>
      <c r="D148" t="s">
        <v>31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25">
      <c r="A149" t="s">
        <v>72</v>
      </c>
      <c r="B149">
        <v>2025</v>
      </c>
      <c r="C149">
        <v>1</v>
      </c>
      <c r="D149" t="s">
        <v>31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25">
      <c r="A150" t="s">
        <v>72</v>
      </c>
      <c r="B150">
        <v>2025</v>
      </c>
      <c r="C150">
        <v>1</v>
      </c>
      <c r="D150" t="s">
        <v>31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25">
      <c r="A151" t="s">
        <v>72</v>
      </c>
      <c r="B151">
        <v>2025</v>
      </c>
      <c r="C151">
        <v>1</v>
      </c>
      <c r="D151" t="s">
        <v>31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25">
      <c r="A152" t="s">
        <v>72</v>
      </c>
      <c r="B152">
        <v>2025</v>
      </c>
      <c r="C152">
        <v>1</v>
      </c>
      <c r="D152" t="s">
        <v>31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25">
      <c r="A153" t="s">
        <v>72</v>
      </c>
      <c r="B153">
        <v>2025</v>
      </c>
      <c r="C153">
        <v>1</v>
      </c>
      <c r="D153" t="s">
        <v>31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25">
      <c r="A154" t="s">
        <v>72</v>
      </c>
      <c r="B154">
        <v>2025</v>
      </c>
      <c r="C154">
        <v>1</v>
      </c>
      <c r="D154" t="s">
        <v>31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25">
      <c r="A155" t="s">
        <v>72</v>
      </c>
      <c r="B155">
        <v>2025</v>
      </c>
      <c r="C155">
        <v>1</v>
      </c>
      <c r="D155" t="s">
        <v>31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25">
      <c r="A156" t="s">
        <v>72</v>
      </c>
      <c r="B156">
        <v>2025</v>
      </c>
      <c r="C156">
        <v>1</v>
      </c>
      <c r="D156" t="s">
        <v>31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25">
      <c r="A157" t="s">
        <v>72</v>
      </c>
      <c r="B157">
        <v>2025</v>
      </c>
      <c r="C157">
        <v>1</v>
      </c>
      <c r="D157" t="s">
        <v>31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25">
      <c r="A158" t="s">
        <v>72</v>
      </c>
      <c r="B158">
        <v>2025</v>
      </c>
      <c r="C158">
        <v>1</v>
      </c>
      <c r="D158" t="s">
        <v>31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25">
      <c r="A159" t="s">
        <v>72</v>
      </c>
      <c r="B159">
        <v>2025</v>
      </c>
      <c r="C159">
        <v>1</v>
      </c>
      <c r="D159" t="s">
        <v>31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25">
      <c r="A160" t="s">
        <v>72</v>
      </c>
      <c r="B160">
        <v>2025</v>
      </c>
      <c r="C160">
        <v>1</v>
      </c>
      <c r="D160" t="s">
        <v>31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25">
      <c r="A161" t="s">
        <v>72</v>
      </c>
      <c r="B161">
        <v>2025</v>
      </c>
      <c r="C161">
        <v>1</v>
      </c>
      <c r="D161" t="s">
        <v>31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25">
      <c r="A162" t="s">
        <v>72</v>
      </c>
      <c r="B162">
        <v>2025</v>
      </c>
      <c r="C162">
        <v>1</v>
      </c>
      <c r="D162" t="s">
        <v>31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25">
      <c r="A163" t="s">
        <v>72</v>
      </c>
      <c r="B163">
        <v>2025</v>
      </c>
      <c r="C163">
        <v>1</v>
      </c>
      <c r="D163" t="s">
        <v>31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25">
      <c r="A164" t="s">
        <v>72</v>
      </c>
      <c r="B164">
        <v>2025</v>
      </c>
      <c r="C164">
        <v>1</v>
      </c>
      <c r="D164" t="s">
        <v>31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25">
      <c r="A165" t="s">
        <v>72</v>
      </c>
      <c r="B165">
        <v>2025</v>
      </c>
      <c r="C165">
        <v>1</v>
      </c>
      <c r="D165" t="s">
        <v>31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25">
      <c r="A166" t="s">
        <v>72</v>
      </c>
      <c r="B166">
        <v>2025</v>
      </c>
      <c r="C166">
        <v>1</v>
      </c>
      <c r="D166" t="s">
        <v>31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25">
      <c r="A167" t="s">
        <v>72</v>
      </c>
      <c r="B167">
        <v>2025</v>
      </c>
      <c r="C167">
        <v>1</v>
      </c>
      <c r="D167" t="s">
        <v>31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25">
      <c r="A168" t="s">
        <v>72</v>
      </c>
      <c r="B168">
        <v>2025</v>
      </c>
      <c r="C168">
        <v>1</v>
      </c>
      <c r="D168" t="s">
        <v>31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25">
      <c r="A169" t="s">
        <v>72</v>
      </c>
      <c r="B169">
        <v>2025</v>
      </c>
      <c r="C169">
        <v>1</v>
      </c>
      <c r="D169" t="s">
        <v>31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25">
      <c r="A170" t="s">
        <v>72</v>
      </c>
      <c r="B170">
        <v>2025</v>
      </c>
      <c r="C170">
        <v>1</v>
      </c>
      <c r="D170" t="s">
        <v>31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25">
      <c r="A171" t="s">
        <v>72</v>
      </c>
      <c r="B171">
        <v>2025</v>
      </c>
      <c r="C171">
        <v>1</v>
      </c>
      <c r="D171" t="s">
        <v>31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25">
      <c r="A172" t="s">
        <v>72</v>
      </c>
      <c r="B172">
        <v>2025</v>
      </c>
      <c r="C172">
        <v>1</v>
      </c>
      <c r="D172" t="s">
        <v>31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25">
      <c r="A173" t="s">
        <v>72</v>
      </c>
      <c r="B173">
        <v>2025</v>
      </c>
      <c r="C173">
        <v>1</v>
      </c>
      <c r="D173" t="s">
        <v>31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25">
      <c r="A174" t="s">
        <v>72</v>
      </c>
      <c r="B174">
        <v>2025</v>
      </c>
      <c r="C174">
        <v>1</v>
      </c>
      <c r="D174" t="s">
        <v>31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25">
      <c r="A175" t="s">
        <v>72</v>
      </c>
      <c r="B175">
        <v>2025</v>
      </c>
      <c r="C175">
        <v>1</v>
      </c>
      <c r="D175" t="s">
        <v>31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25">
      <c r="A176" t="s">
        <v>72</v>
      </c>
      <c r="B176">
        <v>2025</v>
      </c>
      <c r="C176">
        <v>1</v>
      </c>
      <c r="D176" t="s">
        <v>31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25">
      <c r="A177" t="s">
        <v>72</v>
      </c>
      <c r="B177">
        <v>2025</v>
      </c>
      <c r="C177">
        <v>1</v>
      </c>
      <c r="D177" t="s">
        <v>31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25">
      <c r="A178" t="s">
        <v>72</v>
      </c>
      <c r="B178">
        <v>2025</v>
      </c>
      <c r="C178">
        <v>1</v>
      </c>
      <c r="D178" t="s">
        <v>31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25">
      <c r="A179" t="s">
        <v>72</v>
      </c>
      <c r="B179">
        <v>2025</v>
      </c>
      <c r="C179">
        <v>1</v>
      </c>
      <c r="D179" t="s">
        <v>31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25">
      <c r="A180" t="s">
        <v>72</v>
      </c>
      <c r="B180">
        <v>2025</v>
      </c>
      <c r="C180">
        <v>1</v>
      </c>
      <c r="D180" t="s">
        <v>31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25">
      <c r="A181" t="s">
        <v>72</v>
      </c>
      <c r="B181">
        <v>2025</v>
      </c>
      <c r="C181">
        <v>1</v>
      </c>
      <c r="D181" t="s">
        <v>31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25">
      <c r="A182" t="s">
        <v>72</v>
      </c>
      <c r="B182">
        <v>2025</v>
      </c>
      <c r="C182">
        <v>1</v>
      </c>
      <c r="D182" t="s">
        <v>31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25">
      <c r="A183" t="s">
        <v>72</v>
      </c>
      <c r="B183">
        <v>2025</v>
      </c>
      <c r="C183">
        <v>1</v>
      </c>
      <c r="D183" t="s">
        <v>31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25">
      <c r="A184" t="s">
        <v>72</v>
      </c>
      <c r="B184">
        <v>2025</v>
      </c>
      <c r="C184">
        <v>1</v>
      </c>
      <c r="D184" t="s">
        <v>31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25">
      <c r="A185" t="s">
        <v>72</v>
      </c>
      <c r="B185">
        <v>2025</v>
      </c>
      <c r="C185">
        <v>1</v>
      </c>
      <c r="D185" t="s">
        <v>31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25">
      <c r="A186" t="s">
        <v>72</v>
      </c>
      <c r="B186">
        <v>2025</v>
      </c>
      <c r="C186">
        <v>1</v>
      </c>
      <c r="D186" t="s">
        <v>31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25">
      <c r="A187" t="s">
        <v>72</v>
      </c>
      <c r="B187">
        <v>2025</v>
      </c>
      <c r="C187">
        <v>1</v>
      </c>
      <c r="D187" t="s">
        <v>31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25">
      <c r="A188" t="s">
        <v>72</v>
      </c>
      <c r="B188">
        <v>2025</v>
      </c>
      <c r="C188">
        <v>1</v>
      </c>
      <c r="D188" t="s">
        <v>31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25">
      <c r="A189" t="s">
        <v>72</v>
      </c>
      <c r="B189">
        <v>2025</v>
      </c>
      <c r="C189">
        <v>1</v>
      </c>
      <c r="D189" t="s">
        <v>31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25">
      <c r="A190" t="s">
        <v>72</v>
      </c>
      <c r="B190">
        <v>2025</v>
      </c>
      <c r="C190">
        <v>1</v>
      </c>
      <c r="D190" t="s">
        <v>31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25">
      <c r="A191" t="s">
        <v>72</v>
      </c>
      <c r="B191">
        <v>2025</v>
      </c>
      <c r="C191">
        <v>1</v>
      </c>
      <c r="D191" t="s">
        <v>31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25">
      <c r="A192" t="s">
        <v>72</v>
      </c>
      <c r="B192">
        <v>2025</v>
      </c>
      <c r="C192">
        <v>1</v>
      </c>
      <c r="D192" t="s">
        <v>31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52" x14ac:dyDescent="0.25">
      <c r="A193" t="s">
        <v>72</v>
      </c>
      <c r="B193">
        <v>2025</v>
      </c>
      <c r="C193">
        <v>1</v>
      </c>
      <c r="D193" t="s">
        <v>31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52" x14ac:dyDescent="0.25">
      <c r="A194" t="s">
        <v>72</v>
      </c>
      <c r="B194">
        <v>2025</v>
      </c>
      <c r="C194">
        <v>1</v>
      </c>
      <c r="D194" t="s">
        <v>31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52" x14ac:dyDescent="0.25">
      <c r="A195" t="s">
        <v>72</v>
      </c>
      <c r="B195">
        <v>2025</v>
      </c>
      <c r="C195">
        <v>1</v>
      </c>
      <c r="D195" t="s">
        <v>31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52" x14ac:dyDescent="0.25">
      <c r="A196" t="s">
        <v>72</v>
      </c>
      <c r="B196">
        <v>2025</v>
      </c>
      <c r="C196">
        <v>1</v>
      </c>
      <c r="D196" t="s">
        <v>31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52" x14ac:dyDescent="0.25">
      <c r="A197" t="s">
        <v>72</v>
      </c>
      <c r="B197">
        <v>2025</v>
      </c>
      <c r="C197">
        <v>1</v>
      </c>
      <c r="D197" t="s">
        <v>31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9" spans="1:52" x14ac:dyDescent="0.25">
      <c r="AX199" s="4"/>
      <c r="AY199" s="4"/>
      <c r="AZ199" s="4"/>
    </row>
    <row r="200" spans="1:52" s="2" customFormat="1" x14ac:dyDescent="0.25">
      <c r="A200" s="6" t="s">
        <v>0</v>
      </c>
      <c r="B200" s="6" t="s">
        <v>8</v>
      </c>
      <c r="C200" s="6" t="s">
        <v>1</v>
      </c>
      <c r="D200" s="6" t="s">
        <v>2</v>
      </c>
      <c r="E200" s="6" t="s">
        <v>61</v>
      </c>
      <c r="F200" s="6" t="s">
        <v>62</v>
      </c>
      <c r="G200" s="6" t="s">
        <v>63</v>
      </c>
      <c r="H200" s="6" t="s">
        <v>11</v>
      </c>
      <c r="I200" s="6" t="s">
        <v>12</v>
      </c>
      <c r="J200" s="6" t="s">
        <v>56</v>
      </c>
      <c r="K200" s="6" t="s">
        <v>55</v>
      </c>
      <c r="L200" s="6" t="s">
        <v>29</v>
      </c>
    </row>
    <row r="201" spans="1:52" s="5" customFormat="1" x14ac:dyDescent="0.25">
      <c r="A201" t="s">
        <v>80</v>
      </c>
      <c r="B201">
        <v>2025</v>
      </c>
      <c r="C201">
        <v>1</v>
      </c>
      <c r="D201" t="s">
        <v>31</v>
      </c>
      <c r="E201" t="s">
        <v>49</v>
      </c>
      <c r="F201" t="s">
        <v>50</v>
      </c>
      <c r="G201" t="s">
        <v>34</v>
      </c>
      <c r="H201" t="s">
        <v>35</v>
      </c>
      <c r="I201">
        <v>127160</v>
      </c>
      <c r="J201" t="s">
        <v>60</v>
      </c>
      <c r="K201" t="s">
        <v>73</v>
      </c>
      <c r="L201"/>
    </row>
    <row r="202" spans="1:52" s="5" customFormat="1" x14ac:dyDescent="0.25">
      <c r="A202" t="s">
        <v>80</v>
      </c>
      <c r="B202">
        <v>2025</v>
      </c>
      <c r="C202">
        <v>1</v>
      </c>
      <c r="D202" t="s">
        <v>31</v>
      </c>
      <c r="E202" t="s">
        <v>49</v>
      </c>
      <c r="F202" t="s">
        <v>78</v>
      </c>
      <c r="G202" t="s">
        <v>34</v>
      </c>
      <c r="H202" t="s">
        <v>35</v>
      </c>
      <c r="I202">
        <v>127160</v>
      </c>
      <c r="J202" t="s">
        <v>60</v>
      </c>
      <c r="K202" t="s">
        <v>73</v>
      </c>
      <c r="L202"/>
    </row>
    <row r="203" spans="1:52" x14ac:dyDescent="0.25">
      <c r="A203" t="s">
        <v>80</v>
      </c>
      <c r="B203">
        <v>2025</v>
      </c>
      <c r="C203">
        <v>1</v>
      </c>
      <c r="D203" t="s">
        <v>31</v>
      </c>
      <c r="E203" t="s">
        <v>49</v>
      </c>
      <c r="F203" t="s">
        <v>79</v>
      </c>
      <c r="G203" t="s">
        <v>34</v>
      </c>
      <c r="H203" t="s">
        <v>35</v>
      </c>
      <c r="I203">
        <v>127160</v>
      </c>
      <c r="J203" t="s">
        <v>60</v>
      </c>
      <c r="K203" t="s">
        <v>73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4762-1683-47BF-8D26-0CCFE11A3B49}">
  <sheetPr>
    <tabColor rgb="FF00B0F0"/>
  </sheetPr>
  <dimension ref="A1:AE19"/>
  <sheetViews>
    <sheetView zoomScale="60" zoomScaleNormal="60" workbookViewId="0">
      <selection activeCell="Z7" sqref="Z7"/>
    </sheetView>
  </sheetViews>
  <sheetFormatPr defaultRowHeight="15" x14ac:dyDescent="0.25"/>
  <cols>
    <col min="1" max="1" width="16.5703125" customWidth="1"/>
    <col min="2" max="2" width="30.85546875" customWidth="1"/>
    <col min="3" max="3" width="11" customWidth="1"/>
    <col min="4" max="4" width="49.7109375" customWidth="1"/>
    <col min="5" max="5" width="38.5703125" customWidth="1"/>
    <col min="6" max="6" width="55.42578125" customWidth="1"/>
    <col min="7" max="7" width="51.7109375" customWidth="1"/>
    <col min="8" max="8" width="25.42578125" customWidth="1"/>
    <col min="9" max="9" width="22.28515625" bestFit="1" customWidth="1"/>
    <col min="10" max="10" width="31.85546875" customWidth="1"/>
    <col min="11" max="12" width="22.28515625" customWidth="1"/>
    <col min="13" max="13" width="18.28515625" customWidth="1"/>
    <col min="14" max="14" width="18.42578125" customWidth="1"/>
    <col min="15" max="15" width="13.28515625" customWidth="1"/>
    <col min="16" max="16" width="12.42578125" customWidth="1"/>
    <col min="17" max="18" width="14" bestFit="1" customWidth="1"/>
    <col min="19" max="19" width="18.28515625" customWidth="1"/>
    <col min="20" max="21" width="33.7109375" bestFit="1" customWidth="1"/>
    <col min="22" max="22" width="24.140625" bestFit="1" customWidth="1"/>
    <col min="23" max="23" width="27.5703125" bestFit="1" customWidth="1"/>
    <col min="24" max="24" width="18.7109375" customWidth="1"/>
    <col min="25" max="25" width="27.42578125" customWidth="1"/>
    <col min="26" max="26" width="39.7109375" customWidth="1"/>
    <col min="27" max="27" width="38.5703125" bestFit="1" customWidth="1"/>
    <col min="28" max="28" width="37.28515625" customWidth="1"/>
    <col min="29" max="29" width="15.7109375" customWidth="1"/>
    <col min="30" max="30" width="17" customWidth="1"/>
    <col min="31" max="31" width="21.7109375" customWidth="1"/>
    <col min="32" max="32" width="12.7109375" bestFit="1" customWidth="1"/>
    <col min="33" max="33" width="9.5703125" bestFit="1" customWidth="1"/>
    <col min="34" max="34" width="14.140625" customWidth="1"/>
    <col min="35" max="35" width="22.42578125" customWidth="1"/>
    <col min="36" max="36" width="28.5703125" customWidth="1"/>
    <col min="37" max="37" width="27.42578125" customWidth="1"/>
    <col min="38" max="38" width="21.85546875" customWidth="1"/>
    <col min="39" max="39" width="23" customWidth="1"/>
    <col min="40" max="40" width="12.7109375" bestFit="1" customWidth="1"/>
    <col min="41" max="41" width="11.42578125" customWidth="1"/>
  </cols>
  <sheetData>
    <row r="1" spans="1:31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30</v>
      </c>
      <c r="B2">
        <v>2025</v>
      </c>
      <c r="C2">
        <v>2</v>
      </c>
      <c r="D2" t="s">
        <v>89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25">
      <c r="A3" t="s">
        <v>30</v>
      </c>
      <c r="B3">
        <v>2025</v>
      </c>
      <c r="C3">
        <v>2</v>
      </c>
      <c r="D3" t="s">
        <v>89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25">
      <c r="A4" t="s">
        <v>30</v>
      </c>
      <c r="B4">
        <v>2025</v>
      </c>
      <c r="C4">
        <v>2</v>
      </c>
      <c r="D4" t="s">
        <v>89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25">
      <c r="A5" t="s">
        <v>30</v>
      </c>
      <c r="B5">
        <v>2025</v>
      </c>
      <c r="C5">
        <v>2</v>
      </c>
      <c r="D5" t="s">
        <v>89</v>
      </c>
      <c r="E5" t="s">
        <v>90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25">
      <c r="A6" t="s">
        <v>30</v>
      </c>
      <c r="B6">
        <v>2025</v>
      </c>
      <c r="C6">
        <v>2</v>
      </c>
      <c r="D6" t="s">
        <v>89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25">
      <c r="A7" t="s">
        <v>30</v>
      </c>
      <c r="B7">
        <v>2025</v>
      </c>
      <c r="C7">
        <v>2</v>
      </c>
      <c r="D7" t="s">
        <v>89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25">
      <c r="A8" t="s">
        <v>30</v>
      </c>
      <c r="B8">
        <v>2025</v>
      </c>
      <c r="C8">
        <v>2</v>
      </c>
      <c r="D8" t="s">
        <v>89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25">
      <c r="A9" t="s">
        <v>30</v>
      </c>
      <c r="B9">
        <v>2025</v>
      </c>
      <c r="C9">
        <v>2</v>
      </c>
      <c r="D9" t="s">
        <v>89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25">
      <c r="A10" t="s">
        <v>30</v>
      </c>
      <c r="B10">
        <v>2025</v>
      </c>
      <c r="C10">
        <v>2</v>
      </c>
      <c r="D10" t="s">
        <v>89</v>
      </c>
      <c r="E10" t="s">
        <v>90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261.7093656822575</v>
      </c>
    </row>
    <row r="11" spans="1:31" x14ac:dyDescent="0.25">
      <c r="A11" t="s">
        <v>30</v>
      </c>
      <c r="B11">
        <v>2025</v>
      </c>
      <c r="C11">
        <v>2</v>
      </c>
      <c r="D11" t="s">
        <v>89</v>
      </c>
      <c r="E11" t="s">
        <v>90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909.72997266172501</v>
      </c>
    </row>
    <row r="12" spans="1:31" x14ac:dyDescent="0.25">
      <c r="A12" t="s">
        <v>30</v>
      </c>
      <c r="B12">
        <v>2025</v>
      </c>
      <c r="C12">
        <v>2</v>
      </c>
      <c r="D12" t="s">
        <v>89</v>
      </c>
      <c r="E12" t="s">
        <v>90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103.41227403663601</v>
      </c>
    </row>
    <row r="13" spans="1:31" x14ac:dyDescent="0.25">
      <c r="A13" t="s">
        <v>30</v>
      </c>
      <c r="B13">
        <v>2025</v>
      </c>
      <c r="C13">
        <v>2</v>
      </c>
      <c r="D13" t="s">
        <v>89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25">
      <c r="A14" t="s">
        <v>30</v>
      </c>
      <c r="B14">
        <v>2025</v>
      </c>
      <c r="C14">
        <v>2</v>
      </c>
      <c r="D14" t="s">
        <v>89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25">
      <c r="A15" t="s">
        <v>30</v>
      </c>
      <c r="B15">
        <v>2025</v>
      </c>
      <c r="C15">
        <v>2</v>
      </c>
      <c r="D15" t="s">
        <v>89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7" spans="1:31" s="2" customFormat="1" x14ac:dyDescent="0.25">
      <c r="A17" s="1" t="s">
        <v>0</v>
      </c>
      <c r="B17" s="1" t="s">
        <v>8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6</v>
      </c>
      <c r="H17" s="1" t="s">
        <v>7</v>
      </c>
      <c r="I17" s="1" t="s">
        <v>83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58</v>
      </c>
      <c r="W17" s="1" t="s">
        <v>21</v>
      </c>
      <c r="X17" s="1" t="s">
        <v>22</v>
      </c>
      <c r="Y17" s="1" t="s">
        <v>23</v>
      </c>
      <c r="Z17" s="1" t="s">
        <v>56</v>
      </c>
      <c r="AA17" s="1" t="s">
        <v>54</v>
      </c>
      <c r="AB17" s="1" t="s">
        <v>55</v>
      </c>
      <c r="AC17" s="1" t="s">
        <v>57</v>
      </c>
      <c r="AE17" s="1" t="s">
        <v>29</v>
      </c>
    </row>
    <row r="18" spans="1:31" x14ac:dyDescent="0.25">
      <c r="A18" t="s">
        <v>59</v>
      </c>
      <c r="B18">
        <v>2025</v>
      </c>
      <c r="C18">
        <v>2</v>
      </c>
      <c r="D18" t="s">
        <v>89</v>
      </c>
      <c r="E18" t="s">
        <v>90</v>
      </c>
      <c r="F18" t="s">
        <v>50</v>
      </c>
      <c r="G18" t="s">
        <v>33</v>
      </c>
      <c r="H18" t="s">
        <v>32</v>
      </c>
      <c r="J18">
        <v>2024</v>
      </c>
      <c r="K18" t="s">
        <v>34</v>
      </c>
      <c r="L18" t="s">
        <v>35</v>
      </c>
      <c r="M18">
        <v>127160</v>
      </c>
      <c r="N18" t="s">
        <v>36</v>
      </c>
      <c r="O18" t="s">
        <v>37</v>
      </c>
      <c r="P18">
        <v>1</v>
      </c>
      <c r="Q18" t="s">
        <v>38</v>
      </c>
      <c r="R18" t="s">
        <v>39</v>
      </c>
      <c r="T18" t="s">
        <v>40</v>
      </c>
      <c r="U18" t="s">
        <v>41</v>
      </c>
      <c r="V18">
        <v>2.3996350197070956E-2</v>
      </c>
      <c r="W18" t="s">
        <v>42</v>
      </c>
      <c r="X18" t="s">
        <v>43</v>
      </c>
      <c r="Y18" t="s">
        <v>44</v>
      </c>
      <c r="Z18" t="s">
        <v>60</v>
      </c>
      <c r="AA18" t="s">
        <v>53</v>
      </c>
      <c r="AB18" t="s">
        <v>43</v>
      </c>
      <c r="AC18">
        <f>SUM(Z6)</f>
        <v>249986.1</v>
      </c>
    </row>
    <row r="19" spans="1:31" x14ac:dyDescent="0.25">
      <c r="A19" t="s">
        <v>59</v>
      </c>
      <c r="B19">
        <v>2025</v>
      </c>
      <c r="C19">
        <v>2</v>
      </c>
      <c r="D19" t="s">
        <v>89</v>
      </c>
      <c r="E19" t="s">
        <v>90</v>
      </c>
      <c r="F19" t="s">
        <v>78</v>
      </c>
      <c r="G19" t="s">
        <v>84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47</v>
      </c>
      <c r="P19">
        <v>2024</v>
      </c>
      <c r="Q19" t="s">
        <v>38</v>
      </c>
      <c r="R19" t="s">
        <v>39</v>
      </c>
      <c r="T19" t="s">
        <v>40</v>
      </c>
      <c r="U19" t="s">
        <v>41</v>
      </c>
      <c r="V19">
        <v>5.9766999524488829E-2</v>
      </c>
      <c r="W19" t="s">
        <v>42</v>
      </c>
      <c r="X19" t="s">
        <v>43</v>
      </c>
      <c r="Y19" t="s">
        <v>44</v>
      </c>
      <c r="Z19" t="s">
        <v>60</v>
      </c>
      <c r="AA19" t="s">
        <v>53</v>
      </c>
      <c r="AB19" t="s">
        <v>43</v>
      </c>
      <c r="AC19">
        <f>Z8</f>
        <v>210300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77A8-9EFE-4CE1-ABAD-95F6BADBBCB4}">
  <sheetPr>
    <tabColor rgb="FF00B0F0"/>
  </sheetPr>
  <dimension ref="A1:AR202"/>
  <sheetViews>
    <sheetView topLeftCell="A154" zoomScale="60" zoomScaleNormal="60" workbookViewId="0">
      <selection activeCell="I209" sqref="I209"/>
    </sheetView>
  </sheetViews>
  <sheetFormatPr defaultRowHeight="15" x14ac:dyDescent="0.25"/>
  <cols>
    <col min="1" max="1" width="15.140625" customWidth="1"/>
    <col min="2" max="2" width="24" customWidth="1"/>
    <col min="3" max="3" width="10.7109375" customWidth="1"/>
    <col min="4" max="4" width="55.5703125" customWidth="1"/>
    <col min="5" max="5" width="46.5703125" customWidth="1"/>
    <col min="6" max="6" width="55.42578125" customWidth="1"/>
    <col min="7" max="7" width="61.28515625" customWidth="1"/>
    <col min="8" max="8" width="30" customWidth="1"/>
    <col min="9" max="9" width="44.140625" bestFit="1" customWidth="1"/>
    <col min="10" max="10" width="22.7109375" bestFit="1" customWidth="1"/>
    <col min="11" max="12" width="25.42578125" customWidth="1"/>
    <col min="13" max="13" width="16.42578125" customWidth="1"/>
    <col min="14" max="14" width="18.140625" customWidth="1"/>
    <col min="15" max="15" width="17.42578125" bestFit="1" customWidth="1"/>
    <col min="16" max="16" width="19.28515625" bestFit="1" customWidth="1"/>
    <col min="17" max="17" width="18.7109375" bestFit="1" customWidth="1"/>
    <col min="18" max="18" width="15.42578125" bestFit="1" customWidth="1"/>
    <col min="19" max="19" width="16.7109375" bestFit="1" customWidth="1"/>
    <col min="20" max="20" width="23.85546875" customWidth="1"/>
    <col min="21" max="21" width="32.7109375" bestFit="1" customWidth="1"/>
    <col min="22" max="22" width="34.140625" customWidth="1"/>
    <col min="23" max="23" width="23.42578125" customWidth="1"/>
    <col min="24" max="24" width="26.7109375" bestFit="1" customWidth="1"/>
    <col min="25" max="25" width="39.28515625" bestFit="1" customWidth="1"/>
    <col min="26" max="26" width="48" customWidth="1"/>
    <col min="27" max="27" width="40.5703125" customWidth="1"/>
    <col min="28" max="30" width="28" customWidth="1"/>
    <col min="31" max="31" width="24.7109375" customWidth="1"/>
    <col min="32" max="32" width="23.5703125" customWidth="1"/>
    <col min="33" max="33" width="18.7109375" hidden="1" customWidth="1"/>
    <col min="34" max="34" width="27.28515625" hidden="1" customWidth="1"/>
    <col min="35" max="35" width="20.28515625" hidden="1" customWidth="1"/>
    <col min="36" max="36" width="32.42578125" customWidth="1"/>
    <col min="37" max="37" width="19.28515625" bestFit="1" customWidth="1"/>
    <col min="38" max="38" width="28.7109375" customWidth="1"/>
    <col min="39" max="39" width="13.7109375" bestFit="1" customWidth="1"/>
    <col min="40" max="40" width="12" bestFit="1" customWidth="1"/>
    <col min="41" max="41" width="16.28515625" customWidth="1"/>
    <col min="42" max="42" width="11" bestFit="1" customWidth="1"/>
    <col min="43" max="43" width="13.7109375" bestFit="1" customWidth="1"/>
    <col min="44" max="44" width="13.28515625" bestFit="1" customWidth="1"/>
    <col min="45" max="45" width="25.42578125" bestFit="1" customWidth="1"/>
    <col min="46" max="46" width="16.28515625" customWidth="1"/>
    <col min="47" max="47" width="17.85546875" bestFit="1" customWidth="1"/>
    <col min="48" max="48" width="15.28515625" bestFit="1" customWidth="1"/>
    <col min="49" max="49" width="11.28515625" bestFit="1" customWidth="1"/>
    <col min="50" max="50" width="13.140625" bestFit="1" customWidth="1"/>
    <col min="51" max="51" width="9.7109375" bestFit="1" customWidth="1"/>
    <col min="52" max="52" width="12" bestFit="1" customWidth="1"/>
  </cols>
  <sheetData>
    <row r="1" spans="1:44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25">
      <c r="A2" t="s">
        <v>72</v>
      </c>
      <c r="B2">
        <v>2025</v>
      </c>
      <c r="C2">
        <v>2</v>
      </c>
      <c r="D2" t="s">
        <v>89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25">
      <c r="A3" t="s">
        <v>72</v>
      </c>
      <c r="B3">
        <v>2025</v>
      </c>
      <c r="C3">
        <v>2</v>
      </c>
      <c r="D3" t="s">
        <v>89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25">
      <c r="A4" t="s">
        <v>72</v>
      </c>
      <c r="B4">
        <v>2025</v>
      </c>
      <c r="C4">
        <v>2</v>
      </c>
      <c r="D4" t="s">
        <v>89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25">
      <c r="A5" t="s">
        <v>72</v>
      </c>
      <c r="B5">
        <v>2025</v>
      </c>
      <c r="C5">
        <v>2</v>
      </c>
      <c r="D5" t="s">
        <v>89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25">
      <c r="A6" t="s">
        <v>72</v>
      </c>
      <c r="B6">
        <v>2025</v>
      </c>
      <c r="C6">
        <v>2</v>
      </c>
      <c r="D6" t="s">
        <v>89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25">
      <c r="A7" t="s">
        <v>72</v>
      </c>
      <c r="B7">
        <v>2025</v>
      </c>
      <c r="C7">
        <v>2</v>
      </c>
      <c r="D7" t="s">
        <v>89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25">
      <c r="A8" t="s">
        <v>72</v>
      </c>
      <c r="B8">
        <v>2025</v>
      </c>
      <c r="C8">
        <v>2</v>
      </c>
      <c r="D8" t="s">
        <v>89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25">
      <c r="A9" t="s">
        <v>72</v>
      </c>
      <c r="B9">
        <v>2025</v>
      </c>
      <c r="C9">
        <v>2</v>
      </c>
      <c r="D9" t="s">
        <v>89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25">
      <c r="A10" t="s">
        <v>72</v>
      </c>
      <c r="B10">
        <v>2025</v>
      </c>
      <c r="C10">
        <v>2</v>
      </c>
      <c r="D10" t="s">
        <v>89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25">
      <c r="A11" t="s">
        <v>72</v>
      </c>
      <c r="B11">
        <v>2025</v>
      </c>
      <c r="C11">
        <v>2</v>
      </c>
      <c r="D11" t="s">
        <v>89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25">
      <c r="A12" t="s">
        <v>72</v>
      </c>
      <c r="B12">
        <v>2025</v>
      </c>
      <c r="C12">
        <v>2</v>
      </c>
      <c r="D12" t="s">
        <v>89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25">
      <c r="A13" t="s">
        <v>72</v>
      </c>
      <c r="B13">
        <v>2025</v>
      </c>
      <c r="C13">
        <v>2</v>
      </c>
      <c r="D13" t="s">
        <v>89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25">
      <c r="A14" t="s">
        <v>72</v>
      </c>
      <c r="B14">
        <v>2025</v>
      </c>
      <c r="C14">
        <v>2</v>
      </c>
      <c r="D14" t="s">
        <v>89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25">
      <c r="A15" t="s">
        <v>72</v>
      </c>
      <c r="B15">
        <v>2025</v>
      </c>
      <c r="C15">
        <v>2</v>
      </c>
      <c r="D15" t="s">
        <v>89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25">
      <c r="A16" t="s">
        <v>72</v>
      </c>
      <c r="B16">
        <v>2025</v>
      </c>
      <c r="C16">
        <v>2</v>
      </c>
      <c r="D16" t="s">
        <v>89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25">
      <c r="A17" t="s">
        <v>72</v>
      </c>
      <c r="B17">
        <v>2025</v>
      </c>
      <c r="C17">
        <v>2</v>
      </c>
      <c r="D17" t="s">
        <v>89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25">
      <c r="A18" t="s">
        <v>72</v>
      </c>
      <c r="B18">
        <v>2025</v>
      </c>
      <c r="C18">
        <v>2</v>
      </c>
      <c r="D18" t="s">
        <v>89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25">
      <c r="A19" t="s">
        <v>72</v>
      </c>
      <c r="B19">
        <v>2025</v>
      </c>
      <c r="C19">
        <v>2</v>
      </c>
      <c r="D19" t="s">
        <v>89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25">
      <c r="A20" t="s">
        <v>72</v>
      </c>
      <c r="B20">
        <v>2025</v>
      </c>
      <c r="C20">
        <v>2</v>
      </c>
      <c r="D20" t="s">
        <v>89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25">
      <c r="A21" t="s">
        <v>72</v>
      </c>
      <c r="B21">
        <v>2025</v>
      </c>
      <c r="C21">
        <v>2</v>
      </c>
      <c r="D21" t="s">
        <v>89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25">
      <c r="A22" t="s">
        <v>72</v>
      </c>
      <c r="B22">
        <v>2025</v>
      </c>
      <c r="C22">
        <v>2</v>
      </c>
      <c r="D22" t="s">
        <v>89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25">
      <c r="A23" t="s">
        <v>72</v>
      </c>
      <c r="B23">
        <v>2025</v>
      </c>
      <c r="C23">
        <v>2</v>
      </c>
      <c r="D23" t="s">
        <v>89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25">
      <c r="A24" t="s">
        <v>72</v>
      </c>
      <c r="B24">
        <v>2025</v>
      </c>
      <c r="C24">
        <v>2</v>
      </c>
      <c r="D24" t="s">
        <v>89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25">
      <c r="A25" t="s">
        <v>72</v>
      </c>
      <c r="B25">
        <v>2025</v>
      </c>
      <c r="C25">
        <v>2</v>
      </c>
      <c r="D25" t="s">
        <v>89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25">
      <c r="A26" t="s">
        <v>72</v>
      </c>
      <c r="B26">
        <v>2025</v>
      </c>
      <c r="C26">
        <v>2</v>
      </c>
      <c r="D26" t="s">
        <v>89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25">
      <c r="A27" t="s">
        <v>72</v>
      </c>
      <c r="B27">
        <v>2025</v>
      </c>
      <c r="C27">
        <v>2</v>
      </c>
      <c r="D27" t="s">
        <v>89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25">
      <c r="A28" t="s">
        <v>72</v>
      </c>
      <c r="B28">
        <v>2025</v>
      </c>
      <c r="C28">
        <v>2</v>
      </c>
      <c r="D28" t="s">
        <v>89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25">
      <c r="A29" t="s">
        <v>72</v>
      </c>
      <c r="B29">
        <v>2025</v>
      </c>
      <c r="C29">
        <v>2</v>
      </c>
      <c r="D29" t="s">
        <v>89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25">
      <c r="A30" t="s">
        <v>72</v>
      </c>
      <c r="B30">
        <v>2025</v>
      </c>
      <c r="C30">
        <v>2</v>
      </c>
      <c r="D30" t="s">
        <v>89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25">
      <c r="A31" t="s">
        <v>72</v>
      </c>
      <c r="B31">
        <v>2025</v>
      </c>
      <c r="C31">
        <v>2</v>
      </c>
      <c r="D31" t="s">
        <v>89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25">
      <c r="A32" t="s">
        <v>72</v>
      </c>
      <c r="B32">
        <v>2025</v>
      </c>
      <c r="C32">
        <v>2</v>
      </c>
      <c r="D32" t="s">
        <v>89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25">
      <c r="A33" t="s">
        <v>72</v>
      </c>
      <c r="B33">
        <v>2025</v>
      </c>
      <c r="C33">
        <v>2</v>
      </c>
      <c r="D33" t="s">
        <v>89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25">
      <c r="A34" t="s">
        <v>72</v>
      </c>
      <c r="B34">
        <v>2025</v>
      </c>
      <c r="C34">
        <v>2</v>
      </c>
      <c r="D34" t="s">
        <v>89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25">
      <c r="A35" t="s">
        <v>72</v>
      </c>
      <c r="B35">
        <v>2025</v>
      </c>
      <c r="C35">
        <v>2</v>
      </c>
      <c r="D35" t="s">
        <v>89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25">
      <c r="A36" t="s">
        <v>72</v>
      </c>
      <c r="B36">
        <v>2025</v>
      </c>
      <c r="C36">
        <v>2</v>
      </c>
      <c r="D36" t="s">
        <v>89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25">
      <c r="A37" t="s">
        <v>72</v>
      </c>
      <c r="B37">
        <v>2025</v>
      </c>
      <c r="C37">
        <v>2</v>
      </c>
      <c r="D37" t="s">
        <v>89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25">
      <c r="A38" t="s">
        <v>72</v>
      </c>
      <c r="B38">
        <v>2025</v>
      </c>
      <c r="C38">
        <v>2</v>
      </c>
      <c r="D38" t="s">
        <v>89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25">
      <c r="A39" t="s">
        <v>72</v>
      </c>
      <c r="B39">
        <v>2025</v>
      </c>
      <c r="C39">
        <v>2</v>
      </c>
      <c r="D39" t="s">
        <v>89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25">
      <c r="A40" t="s">
        <v>72</v>
      </c>
      <c r="B40">
        <v>2025</v>
      </c>
      <c r="C40">
        <v>2</v>
      </c>
      <c r="D40" t="s">
        <v>89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25">
      <c r="A41" t="s">
        <v>72</v>
      </c>
      <c r="B41">
        <v>2025</v>
      </c>
      <c r="C41">
        <v>2</v>
      </c>
      <c r="D41" t="s">
        <v>89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25">
      <c r="A42" t="s">
        <v>72</v>
      </c>
      <c r="B42">
        <v>2025</v>
      </c>
      <c r="C42">
        <v>2</v>
      </c>
      <c r="D42" t="s">
        <v>89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25">
      <c r="A43" t="s">
        <v>72</v>
      </c>
      <c r="B43">
        <v>2025</v>
      </c>
      <c r="C43">
        <v>2</v>
      </c>
      <c r="D43" t="s">
        <v>89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25">
      <c r="A44" t="s">
        <v>72</v>
      </c>
      <c r="B44">
        <v>2025</v>
      </c>
      <c r="C44">
        <v>2</v>
      </c>
      <c r="D44" t="s">
        <v>89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261.7093656822575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0.82286299921168082</v>
      </c>
    </row>
    <row r="45" spans="1:36" x14ac:dyDescent="0.25">
      <c r="A45" t="s">
        <v>72</v>
      </c>
      <c r="B45">
        <v>2025</v>
      </c>
      <c r="C45">
        <v>2</v>
      </c>
      <c r="D45" t="s">
        <v>89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261.7093656822575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1.2024825129564498</v>
      </c>
    </row>
    <row r="46" spans="1:36" x14ac:dyDescent="0.25">
      <c r="A46" t="s">
        <v>72</v>
      </c>
      <c r="B46">
        <v>2025</v>
      </c>
      <c r="C46">
        <v>2</v>
      </c>
      <c r="D46" t="s">
        <v>89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261.7093656822575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0.38540723783884617</v>
      </c>
    </row>
    <row r="47" spans="1:36" x14ac:dyDescent="0.25">
      <c r="A47" t="s">
        <v>72</v>
      </c>
      <c r="B47">
        <v>2025</v>
      </c>
      <c r="C47">
        <v>2</v>
      </c>
      <c r="D47" t="s">
        <v>89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261.7093656822575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4.4705651741259969</v>
      </c>
    </row>
    <row r="48" spans="1:36" x14ac:dyDescent="0.25">
      <c r="A48" t="s">
        <v>72</v>
      </c>
      <c r="B48">
        <v>2025</v>
      </c>
      <c r="C48">
        <v>2</v>
      </c>
      <c r="D48" t="s">
        <v>89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261.7093656822575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6.6201707876910039</v>
      </c>
    </row>
    <row r="49" spans="1:36" x14ac:dyDescent="0.25">
      <c r="A49" t="s">
        <v>72</v>
      </c>
      <c r="B49">
        <v>2025</v>
      </c>
      <c r="C49">
        <v>2</v>
      </c>
      <c r="D49" t="s">
        <v>89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261.7093656822575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6.5647431777141607</v>
      </c>
    </row>
    <row r="50" spans="1:36" x14ac:dyDescent="0.25">
      <c r="A50" t="s">
        <v>72</v>
      </c>
      <c r="B50">
        <v>2025</v>
      </c>
      <c r="C50">
        <v>2</v>
      </c>
      <c r="D50" t="s">
        <v>89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261.7093656822575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9.4837642335205672</v>
      </c>
    </row>
    <row r="51" spans="1:36" x14ac:dyDescent="0.25">
      <c r="A51" t="s">
        <v>72</v>
      </c>
      <c r="B51">
        <v>2025</v>
      </c>
      <c r="C51">
        <v>2</v>
      </c>
      <c r="D51" t="s">
        <v>89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261.7093656822575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25">
      <c r="A52" t="s">
        <v>72</v>
      </c>
      <c r="B52">
        <v>2025</v>
      </c>
      <c r="C52">
        <v>2</v>
      </c>
      <c r="D52" t="s">
        <v>89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261.7093656822575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25">
      <c r="A53" t="s">
        <v>72</v>
      </c>
      <c r="B53">
        <v>2025</v>
      </c>
      <c r="C53">
        <v>2</v>
      </c>
      <c r="D53" t="s">
        <v>89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261.7093656822575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25">
      <c r="A54" t="s">
        <v>72</v>
      </c>
      <c r="B54">
        <v>2025</v>
      </c>
      <c r="C54">
        <v>2</v>
      </c>
      <c r="D54" t="s">
        <v>89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261.7093656822575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25">
      <c r="A55" t="s">
        <v>72</v>
      </c>
      <c r="B55">
        <v>2025</v>
      </c>
      <c r="C55">
        <v>2</v>
      </c>
      <c r="D55" t="s">
        <v>89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261.7093656822575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25">
      <c r="A56" t="s">
        <v>72</v>
      </c>
      <c r="B56">
        <v>2025</v>
      </c>
      <c r="C56">
        <v>2</v>
      </c>
      <c r="D56" t="s">
        <v>89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261.7093656822575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25">
      <c r="A57" t="s">
        <v>72</v>
      </c>
      <c r="B57">
        <v>2025</v>
      </c>
      <c r="C57">
        <v>2</v>
      </c>
      <c r="D57" t="s">
        <v>89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261.7093656822575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25">
      <c r="A58" t="s">
        <v>72</v>
      </c>
      <c r="B58">
        <v>2025</v>
      </c>
      <c r="C58">
        <v>2</v>
      </c>
      <c r="D58" t="s">
        <v>89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25">
      <c r="A59" t="s">
        <v>72</v>
      </c>
      <c r="B59">
        <v>2025</v>
      </c>
      <c r="C59">
        <v>2</v>
      </c>
      <c r="D59" t="s">
        <v>89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25">
      <c r="A60" t="s">
        <v>72</v>
      </c>
      <c r="B60">
        <v>2025</v>
      </c>
      <c r="C60">
        <v>2</v>
      </c>
      <c r="D60" t="s">
        <v>89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25">
      <c r="A61" t="s">
        <v>72</v>
      </c>
      <c r="B61">
        <v>2025</v>
      </c>
      <c r="C61">
        <v>2</v>
      </c>
      <c r="D61" t="s">
        <v>89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25">
      <c r="A62" t="s">
        <v>72</v>
      </c>
      <c r="B62">
        <v>2025</v>
      </c>
      <c r="C62">
        <v>2</v>
      </c>
      <c r="D62" t="s">
        <v>89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25">
      <c r="A63" t="s">
        <v>72</v>
      </c>
      <c r="B63">
        <v>2025</v>
      </c>
      <c r="C63">
        <v>2</v>
      </c>
      <c r="D63" t="s">
        <v>89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25">
      <c r="A64" t="s">
        <v>72</v>
      </c>
      <c r="B64">
        <v>2025</v>
      </c>
      <c r="C64">
        <v>2</v>
      </c>
      <c r="D64" t="s">
        <v>89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25">
      <c r="A65" t="s">
        <v>72</v>
      </c>
      <c r="B65">
        <v>2025</v>
      </c>
      <c r="C65">
        <v>2</v>
      </c>
      <c r="D65" t="s">
        <v>89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25">
      <c r="A66" t="s">
        <v>72</v>
      </c>
      <c r="B66">
        <v>2025</v>
      </c>
      <c r="C66">
        <v>2</v>
      </c>
      <c r="D66" t="s">
        <v>89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25">
      <c r="A67" t="s">
        <v>72</v>
      </c>
      <c r="B67">
        <v>2025</v>
      </c>
      <c r="C67">
        <v>2</v>
      </c>
      <c r="D67" t="s">
        <v>89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25">
      <c r="A68" t="s">
        <v>72</v>
      </c>
      <c r="B68">
        <v>2025</v>
      </c>
      <c r="C68">
        <v>2</v>
      </c>
      <c r="D68" t="s">
        <v>89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25">
      <c r="A69" t="s">
        <v>72</v>
      </c>
      <c r="B69">
        <v>2025</v>
      </c>
      <c r="C69">
        <v>2</v>
      </c>
      <c r="D69" t="s">
        <v>89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25">
      <c r="A70" t="s">
        <v>72</v>
      </c>
      <c r="B70">
        <v>2025</v>
      </c>
      <c r="C70">
        <v>2</v>
      </c>
      <c r="D70" t="s">
        <v>89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25">
      <c r="A71" t="s">
        <v>72</v>
      </c>
      <c r="B71">
        <v>2025</v>
      </c>
      <c r="C71">
        <v>2</v>
      </c>
      <c r="D71" t="s">
        <v>89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25">
      <c r="A72" t="s">
        <v>72</v>
      </c>
      <c r="B72">
        <v>2025</v>
      </c>
      <c r="C72">
        <v>2</v>
      </c>
      <c r="D72" t="s">
        <v>89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103.41227403663601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0.32514745411289447</v>
      </c>
    </row>
    <row r="73" spans="1:36" x14ac:dyDescent="0.25">
      <c r="A73" t="s">
        <v>72</v>
      </c>
      <c r="B73">
        <v>2025</v>
      </c>
      <c r="C73">
        <v>2</v>
      </c>
      <c r="D73" t="s">
        <v>89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103.41227403663601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0.47515094016578202</v>
      </c>
    </row>
    <row r="74" spans="1:36" x14ac:dyDescent="0.25">
      <c r="A74" t="s">
        <v>72</v>
      </c>
      <c r="B74">
        <v>2025</v>
      </c>
      <c r="C74">
        <v>2</v>
      </c>
      <c r="D74" t="s">
        <v>89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103.41227403663601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0.15229045697769511</v>
      </c>
    </row>
    <row r="75" spans="1:36" x14ac:dyDescent="0.25">
      <c r="A75" t="s">
        <v>72</v>
      </c>
      <c r="B75">
        <v>2025</v>
      </c>
      <c r="C75">
        <v>2</v>
      </c>
      <c r="D75" t="s">
        <v>89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103.41227403663601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1.7665065584494717</v>
      </c>
    </row>
    <row r="76" spans="1:36" x14ac:dyDescent="0.25">
      <c r="A76" t="s">
        <v>72</v>
      </c>
      <c r="B76">
        <v>2025</v>
      </c>
      <c r="C76">
        <v>2</v>
      </c>
      <c r="D76" t="s">
        <v>89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103.41227403663601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2.6159052958663267</v>
      </c>
    </row>
    <row r="77" spans="1:36" x14ac:dyDescent="0.25">
      <c r="A77" t="s">
        <v>72</v>
      </c>
      <c r="B77">
        <v>2025</v>
      </c>
      <c r="C77">
        <v>2</v>
      </c>
      <c r="D77" t="s">
        <v>89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103.41227403663601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2.59400353787162</v>
      </c>
    </row>
    <row r="78" spans="1:36" x14ac:dyDescent="0.25">
      <c r="A78" t="s">
        <v>72</v>
      </c>
      <c r="B78">
        <v>2025</v>
      </c>
      <c r="C78">
        <v>2</v>
      </c>
      <c r="D78" t="s">
        <v>89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103.41227403663601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3.7474303728449447</v>
      </c>
    </row>
    <row r="79" spans="1:36" x14ac:dyDescent="0.25">
      <c r="A79" t="s">
        <v>72</v>
      </c>
      <c r="B79">
        <v>2025</v>
      </c>
      <c r="C79">
        <v>2</v>
      </c>
      <c r="D79" t="s">
        <v>89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103.41227403663601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25">
      <c r="A80" t="s">
        <v>72</v>
      </c>
      <c r="B80">
        <v>2025</v>
      </c>
      <c r="C80">
        <v>2</v>
      </c>
      <c r="D80" t="s">
        <v>89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103.41227403663601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25">
      <c r="A81" t="s">
        <v>72</v>
      </c>
      <c r="B81">
        <v>2025</v>
      </c>
      <c r="C81">
        <v>2</v>
      </c>
      <c r="D81" t="s">
        <v>89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103.41227403663601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25">
      <c r="A82" t="s">
        <v>72</v>
      </c>
      <c r="B82">
        <v>2025</v>
      </c>
      <c r="C82">
        <v>2</v>
      </c>
      <c r="D82" t="s">
        <v>89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103.41227403663601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25">
      <c r="A83" t="s">
        <v>72</v>
      </c>
      <c r="B83">
        <v>2025</v>
      </c>
      <c r="C83">
        <v>2</v>
      </c>
      <c r="D83" t="s">
        <v>89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103.41227403663601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25">
      <c r="A84" t="s">
        <v>72</v>
      </c>
      <c r="B84">
        <v>2025</v>
      </c>
      <c r="C84">
        <v>2</v>
      </c>
      <c r="D84" t="s">
        <v>89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103.41227403663601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25">
      <c r="A85" t="s">
        <v>72</v>
      </c>
      <c r="B85">
        <v>2025</v>
      </c>
      <c r="C85">
        <v>2</v>
      </c>
      <c r="D85" t="s">
        <v>89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103.41227403663601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25">
      <c r="A86" t="s">
        <v>72</v>
      </c>
      <c r="B86">
        <v>2025</v>
      </c>
      <c r="C86">
        <v>2</v>
      </c>
      <c r="D86" t="s">
        <v>89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909.72997266172501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2.8603605064942368</v>
      </c>
    </row>
    <row r="87" spans="1:36" x14ac:dyDescent="0.25">
      <c r="A87" t="s">
        <v>72</v>
      </c>
      <c r="B87">
        <v>2025</v>
      </c>
      <c r="C87">
        <v>2</v>
      </c>
      <c r="D87" t="s">
        <v>89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909.72997266172501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4.1799588669143164</v>
      </c>
    </row>
    <row r="88" spans="1:36" x14ac:dyDescent="0.25">
      <c r="A88" t="s">
        <v>72</v>
      </c>
      <c r="B88">
        <v>2025</v>
      </c>
      <c r="C88">
        <v>2</v>
      </c>
      <c r="D88" t="s">
        <v>89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909.72997266172501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1.3397171134045298</v>
      </c>
    </row>
    <row r="89" spans="1:36" x14ac:dyDescent="0.25">
      <c r="A89" t="s">
        <v>72</v>
      </c>
      <c r="B89">
        <v>2025</v>
      </c>
      <c r="C89">
        <v>2</v>
      </c>
      <c r="D89" t="s">
        <v>89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909.72997266172501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15.540166562391482</v>
      </c>
    </row>
    <row r="90" spans="1:36" x14ac:dyDescent="0.25">
      <c r="A90" t="s">
        <v>72</v>
      </c>
      <c r="B90">
        <v>2025</v>
      </c>
      <c r="C90">
        <v>2</v>
      </c>
      <c r="D90" t="s">
        <v>89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909.72997266172501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23.012427446001734</v>
      </c>
    </row>
    <row r="91" spans="1:36" x14ac:dyDescent="0.25">
      <c r="A91" t="s">
        <v>72</v>
      </c>
      <c r="B91">
        <v>2025</v>
      </c>
      <c r="C91">
        <v>2</v>
      </c>
      <c r="D91" t="s">
        <v>89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909.72997266172501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22.8197550975075</v>
      </c>
    </row>
    <row r="92" spans="1:36" x14ac:dyDescent="0.25">
      <c r="A92" t="s">
        <v>72</v>
      </c>
      <c r="B92">
        <v>2025</v>
      </c>
      <c r="C92">
        <v>2</v>
      </c>
      <c r="D92" t="s">
        <v>89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909.72997266172501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32.966587016858227</v>
      </c>
    </row>
    <row r="93" spans="1:36" x14ac:dyDescent="0.25">
      <c r="A93" t="s">
        <v>72</v>
      </c>
      <c r="B93">
        <v>2025</v>
      </c>
      <c r="C93">
        <v>2</v>
      </c>
      <c r="D93" t="s">
        <v>89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909.72997266172501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25">
      <c r="A94" t="s">
        <v>72</v>
      </c>
      <c r="B94">
        <v>2025</v>
      </c>
      <c r="C94">
        <v>2</v>
      </c>
      <c r="D94" t="s">
        <v>89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909.72997266172501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25">
      <c r="A95" t="s">
        <v>72</v>
      </c>
      <c r="B95">
        <v>2025</v>
      </c>
      <c r="C95">
        <v>2</v>
      </c>
      <c r="D95" t="s">
        <v>89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909.72997266172501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25">
      <c r="A96" t="s">
        <v>72</v>
      </c>
      <c r="B96">
        <v>2025</v>
      </c>
      <c r="C96">
        <v>2</v>
      </c>
      <c r="D96" t="s">
        <v>89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909.72997266172501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25">
      <c r="A97" t="s">
        <v>72</v>
      </c>
      <c r="B97">
        <v>2025</v>
      </c>
      <c r="C97">
        <v>2</v>
      </c>
      <c r="D97" t="s">
        <v>89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909.72997266172501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25">
      <c r="A98" t="s">
        <v>72</v>
      </c>
      <c r="B98">
        <v>2025</v>
      </c>
      <c r="C98">
        <v>2</v>
      </c>
      <c r="D98" t="s">
        <v>89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909.72997266172501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25">
      <c r="A99" t="s">
        <v>72</v>
      </c>
      <c r="B99">
        <v>2025</v>
      </c>
      <c r="C99">
        <v>2</v>
      </c>
      <c r="D99" t="s">
        <v>89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909.72997266172501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25">
      <c r="A100" t="s">
        <v>72</v>
      </c>
      <c r="B100">
        <v>2025</v>
      </c>
      <c r="C100">
        <v>2</v>
      </c>
      <c r="D100" t="s">
        <v>89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25">
      <c r="A101" t="s">
        <v>72</v>
      </c>
      <c r="B101">
        <v>2025</v>
      </c>
      <c r="C101">
        <v>2</v>
      </c>
      <c r="D101" t="s">
        <v>89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25">
      <c r="A102" t="s">
        <v>72</v>
      </c>
      <c r="B102">
        <v>2025</v>
      </c>
      <c r="C102">
        <v>2</v>
      </c>
      <c r="D102" t="s">
        <v>89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25">
      <c r="A103" t="s">
        <v>72</v>
      </c>
      <c r="B103">
        <v>2025</v>
      </c>
      <c r="C103">
        <v>2</v>
      </c>
      <c r="D103" t="s">
        <v>89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25">
      <c r="A104" t="s">
        <v>72</v>
      </c>
      <c r="B104">
        <v>2025</v>
      </c>
      <c r="C104">
        <v>2</v>
      </c>
      <c r="D104" t="s">
        <v>89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25">
      <c r="A105" t="s">
        <v>72</v>
      </c>
      <c r="B105">
        <v>2025</v>
      </c>
      <c r="C105">
        <v>2</v>
      </c>
      <c r="D105" t="s">
        <v>89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25">
      <c r="A106" t="s">
        <v>72</v>
      </c>
      <c r="B106">
        <v>2025</v>
      </c>
      <c r="C106">
        <v>2</v>
      </c>
      <c r="D106" t="s">
        <v>89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25">
      <c r="A107" t="s">
        <v>72</v>
      </c>
      <c r="B107">
        <v>2025</v>
      </c>
      <c r="C107">
        <v>2</v>
      </c>
      <c r="D107" t="s">
        <v>89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25">
      <c r="A108" t="s">
        <v>72</v>
      </c>
      <c r="B108">
        <v>2025</v>
      </c>
      <c r="C108">
        <v>2</v>
      </c>
      <c r="D108" t="s">
        <v>89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25">
      <c r="A109" t="s">
        <v>72</v>
      </c>
      <c r="B109">
        <v>2025</v>
      </c>
      <c r="C109">
        <v>2</v>
      </c>
      <c r="D109" t="s">
        <v>89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25">
      <c r="A110" t="s">
        <v>72</v>
      </c>
      <c r="B110">
        <v>2025</v>
      </c>
      <c r="C110">
        <v>2</v>
      </c>
      <c r="D110" t="s">
        <v>89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25">
      <c r="A111" t="s">
        <v>72</v>
      </c>
      <c r="B111">
        <v>2025</v>
      </c>
      <c r="C111">
        <v>2</v>
      </c>
      <c r="D111" t="s">
        <v>89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25">
      <c r="A112" t="s">
        <v>72</v>
      </c>
      <c r="B112">
        <v>2025</v>
      </c>
      <c r="C112">
        <v>2</v>
      </c>
      <c r="D112" t="s">
        <v>89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25">
      <c r="A113" t="s">
        <v>72</v>
      </c>
      <c r="B113">
        <v>2025</v>
      </c>
      <c r="C113">
        <v>2</v>
      </c>
      <c r="D113" t="s">
        <v>89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25">
      <c r="A114" t="s">
        <v>72</v>
      </c>
      <c r="B114">
        <v>2025</v>
      </c>
      <c r="C114">
        <v>2</v>
      </c>
      <c r="D114" t="s">
        <v>89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25">
      <c r="A115" t="s">
        <v>72</v>
      </c>
      <c r="B115">
        <v>2025</v>
      </c>
      <c r="C115">
        <v>2</v>
      </c>
      <c r="D115" t="s">
        <v>89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25">
      <c r="A116" t="s">
        <v>72</v>
      </c>
      <c r="B116">
        <v>2025</v>
      </c>
      <c r="C116">
        <v>2</v>
      </c>
      <c r="D116" t="s">
        <v>89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25">
      <c r="A117" t="s">
        <v>72</v>
      </c>
      <c r="B117">
        <v>2025</v>
      </c>
      <c r="C117">
        <v>2</v>
      </c>
      <c r="D117" t="s">
        <v>89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25">
      <c r="A118" t="s">
        <v>72</v>
      </c>
      <c r="B118">
        <v>2025</v>
      </c>
      <c r="C118">
        <v>2</v>
      </c>
      <c r="D118" t="s">
        <v>89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25">
      <c r="A119" t="s">
        <v>72</v>
      </c>
      <c r="B119">
        <v>2025</v>
      </c>
      <c r="C119">
        <v>2</v>
      </c>
      <c r="D119" t="s">
        <v>89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25">
      <c r="A120" t="s">
        <v>72</v>
      </c>
      <c r="B120">
        <v>2025</v>
      </c>
      <c r="C120">
        <v>2</v>
      </c>
      <c r="D120" t="s">
        <v>89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25">
      <c r="A121" t="s">
        <v>72</v>
      </c>
      <c r="B121">
        <v>2025</v>
      </c>
      <c r="C121">
        <v>2</v>
      </c>
      <c r="D121" t="s">
        <v>89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25">
      <c r="A122" t="s">
        <v>72</v>
      </c>
      <c r="B122">
        <v>2025</v>
      </c>
      <c r="C122">
        <v>2</v>
      </c>
      <c r="D122" t="s">
        <v>89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25">
      <c r="A123" t="s">
        <v>72</v>
      </c>
      <c r="B123">
        <v>2025</v>
      </c>
      <c r="C123">
        <v>2</v>
      </c>
      <c r="D123" t="s">
        <v>89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25">
      <c r="A124" t="s">
        <v>72</v>
      </c>
      <c r="B124">
        <v>2025</v>
      </c>
      <c r="C124">
        <v>2</v>
      </c>
      <c r="D124" t="s">
        <v>89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25">
      <c r="A125" t="s">
        <v>72</v>
      </c>
      <c r="B125">
        <v>2025</v>
      </c>
      <c r="C125">
        <v>2</v>
      </c>
      <c r="D125" t="s">
        <v>89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25">
      <c r="A126" t="s">
        <v>72</v>
      </c>
      <c r="B126">
        <v>2025</v>
      </c>
      <c r="C126">
        <v>2</v>
      </c>
      <c r="D126" t="s">
        <v>89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25">
      <c r="A127" t="s">
        <v>72</v>
      </c>
      <c r="B127">
        <v>2025</v>
      </c>
      <c r="C127">
        <v>2</v>
      </c>
      <c r="D127" t="s">
        <v>89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25">
      <c r="A128" t="s">
        <v>72</v>
      </c>
      <c r="B128">
        <v>2025</v>
      </c>
      <c r="C128">
        <v>2</v>
      </c>
      <c r="D128" t="s">
        <v>89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25">
      <c r="A129" t="s">
        <v>72</v>
      </c>
      <c r="B129">
        <v>2025</v>
      </c>
      <c r="C129">
        <v>2</v>
      </c>
      <c r="D129" t="s">
        <v>89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25">
      <c r="A130" t="s">
        <v>72</v>
      </c>
      <c r="B130">
        <v>2025</v>
      </c>
      <c r="C130">
        <v>2</v>
      </c>
      <c r="D130" t="s">
        <v>89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25">
      <c r="A131" t="s">
        <v>72</v>
      </c>
      <c r="B131">
        <v>2025</v>
      </c>
      <c r="C131">
        <v>2</v>
      </c>
      <c r="D131" t="s">
        <v>89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25">
      <c r="A132" t="s">
        <v>72</v>
      </c>
      <c r="B132">
        <v>2025</v>
      </c>
      <c r="C132">
        <v>2</v>
      </c>
      <c r="D132" t="s">
        <v>89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25">
      <c r="A133" t="s">
        <v>72</v>
      </c>
      <c r="B133">
        <v>2025</v>
      </c>
      <c r="C133">
        <v>2</v>
      </c>
      <c r="D133" t="s">
        <v>89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25">
      <c r="A134" t="s">
        <v>72</v>
      </c>
      <c r="B134">
        <v>2025</v>
      </c>
      <c r="C134">
        <v>2</v>
      </c>
      <c r="D134" t="s">
        <v>89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25">
      <c r="A135" t="s">
        <v>72</v>
      </c>
      <c r="B135">
        <v>2025</v>
      </c>
      <c r="C135">
        <v>2</v>
      </c>
      <c r="D135" t="s">
        <v>89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25">
      <c r="A136" t="s">
        <v>72</v>
      </c>
      <c r="B136">
        <v>2025</v>
      </c>
      <c r="C136">
        <v>2</v>
      </c>
      <c r="D136" t="s">
        <v>89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25">
      <c r="A137" t="s">
        <v>72</v>
      </c>
      <c r="B137">
        <v>2025</v>
      </c>
      <c r="C137">
        <v>2</v>
      </c>
      <c r="D137" t="s">
        <v>89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25">
      <c r="A138" t="s">
        <v>72</v>
      </c>
      <c r="B138">
        <v>2025</v>
      </c>
      <c r="C138">
        <v>2</v>
      </c>
      <c r="D138" t="s">
        <v>89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25">
      <c r="A139" t="s">
        <v>72</v>
      </c>
      <c r="B139">
        <v>2025</v>
      </c>
      <c r="C139">
        <v>2</v>
      </c>
      <c r="D139" t="s">
        <v>89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25">
      <c r="A140" t="s">
        <v>72</v>
      </c>
      <c r="B140">
        <v>2025</v>
      </c>
      <c r="C140">
        <v>2</v>
      </c>
      <c r="D140" t="s">
        <v>89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25">
      <c r="A141" t="s">
        <v>72</v>
      </c>
      <c r="B141">
        <v>2025</v>
      </c>
      <c r="C141">
        <v>2</v>
      </c>
      <c r="D141" t="s">
        <v>89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25">
      <c r="A142" t="s">
        <v>72</v>
      </c>
      <c r="B142">
        <v>2025</v>
      </c>
      <c r="C142">
        <v>2</v>
      </c>
      <c r="D142" t="s">
        <v>89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25">
      <c r="A143" t="s">
        <v>72</v>
      </c>
      <c r="B143">
        <v>2025</v>
      </c>
      <c r="C143">
        <v>2</v>
      </c>
      <c r="D143" t="s">
        <v>89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25">
      <c r="A144" t="s">
        <v>72</v>
      </c>
      <c r="B144">
        <v>2025</v>
      </c>
      <c r="C144">
        <v>2</v>
      </c>
      <c r="D144" t="s">
        <v>89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25">
      <c r="A145" t="s">
        <v>72</v>
      </c>
      <c r="B145">
        <v>2025</v>
      </c>
      <c r="C145">
        <v>2</v>
      </c>
      <c r="D145" t="s">
        <v>89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25">
      <c r="A146" t="s">
        <v>72</v>
      </c>
      <c r="B146">
        <v>2025</v>
      </c>
      <c r="C146">
        <v>2</v>
      </c>
      <c r="D146" t="s">
        <v>89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25">
      <c r="A147" t="s">
        <v>72</v>
      </c>
      <c r="B147">
        <v>2025</v>
      </c>
      <c r="C147">
        <v>2</v>
      </c>
      <c r="D147" t="s">
        <v>89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25">
      <c r="A148" t="s">
        <v>72</v>
      </c>
      <c r="B148">
        <v>2025</v>
      </c>
      <c r="C148">
        <v>2</v>
      </c>
      <c r="D148" t="s">
        <v>89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25">
      <c r="A149" t="s">
        <v>72</v>
      </c>
      <c r="B149">
        <v>2025</v>
      </c>
      <c r="C149">
        <v>2</v>
      </c>
      <c r="D149" t="s">
        <v>89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25">
      <c r="A150" t="s">
        <v>72</v>
      </c>
      <c r="B150">
        <v>2025</v>
      </c>
      <c r="C150">
        <v>2</v>
      </c>
      <c r="D150" t="s">
        <v>89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25">
      <c r="A151" t="s">
        <v>72</v>
      </c>
      <c r="B151">
        <v>2025</v>
      </c>
      <c r="C151">
        <v>2</v>
      </c>
      <c r="D151" t="s">
        <v>89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25">
      <c r="A152" t="s">
        <v>72</v>
      </c>
      <c r="B152">
        <v>2025</v>
      </c>
      <c r="C152">
        <v>2</v>
      </c>
      <c r="D152" t="s">
        <v>89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25">
      <c r="A153" t="s">
        <v>72</v>
      </c>
      <c r="B153">
        <v>2025</v>
      </c>
      <c r="C153">
        <v>2</v>
      </c>
      <c r="D153" t="s">
        <v>89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25">
      <c r="A154" t="s">
        <v>72</v>
      </c>
      <c r="B154">
        <v>2025</v>
      </c>
      <c r="C154">
        <v>2</v>
      </c>
      <c r="D154" t="s">
        <v>89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25">
      <c r="A155" t="s">
        <v>72</v>
      </c>
      <c r="B155">
        <v>2025</v>
      </c>
      <c r="C155">
        <v>2</v>
      </c>
      <c r="D155" t="s">
        <v>89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25">
      <c r="A156" t="s">
        <v>72</v>
      </c>
      <c r="B156">
        <v>2025</v>
      </c>
      <c r="C156">
        <v>2</v>
      </c>
      <c r="D156" t="s">
        <v>89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25">
      <c r="A157" t="s">
        <v>72</v>
      </c>
      <c r="B157">
        <v>2025</v>
      </c>
      <c r="C157">
        <v>2</v>
      </c>
      <c r="D157" t="s">
        <v>89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25">
      <c r="A158" t="s">
        <v>72</v>
      </c>
      <c r="B158">
        <v>2025</v>
      </c>
      <c r="C158">
        <v>2</v>
      </c>
      <c r="D158" t="s">
        <v>89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25">
      <c r="A159" t="s">
        <v>72</v>
      </c>
      <c r="B159">
        <v>2025</v>
      </c>
      <c r="C159">
        <v>2</v>
      </c>
      <c r="D159" t="s">
        <v>89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25">
      <c r="A160" t="s">
        <v>72</v>
      </c>
      <c r="B160">
        <v>2025</v>
      </c>
      <c r="C160">
        <v>2</v>
      </c>
      <c r="D160" t="s">
        <v>89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25">
      <c r="A161" t="s">
        <v>72</v>
      </c>
      <c r="B161">
        <v>2025</v>
      </c>
      <c r="C161">
        <v>2</v>
      </c>
      <c r="D161" t="s">
        <v>89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25">
      <c r="A162" t="s">
        <v>72</v>
      </c>
      <c r="B162">
        <v>2025</v>
      </c>
      <c r="C162">
        <v>2</v>
      </c>
      <c r="D162" t="s">
        <v>89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25">
      <c r="A163" t="s">
        <v>72</v>
      </c>
      <c r="B163">
        <v>2025</v>
      </c>
      <c r="C163">
        <v>2</v>
      </c>
      <c r="D163" t="s">
        <v>89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25">
      <c r="A164" t="s">
        <v>72</v>
      </c>
      <c r="B164">
        <v>2025</v>
      </c>
      <c r="C164">
        <v>2</v>
      </c>
      <c r="D164" t="s">
        <v>89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25">
      <c r="A165" t="s">
        <v>72</v>
      </c>
      <c r="B165">
        <v>2025</v>
      </c>
      <c r="C165">
        <v>2</v>
      </c>
      <c r="D165" t="s">
        <v>89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25">
      <c r="A166" t="s">
        <v>72</v>
      </c>
      <c r="B166">
        <v>2025</v>
      </c>
      <c r="C166">
        <v>2</v>
      </c>
      <c r="D166" t="s">
        <v>89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25">
      <c r="A167" t="s">
        <v>72</v>
      </c>
      <c r="B167">
        <v>2025</v>
      </c>
      <c r="C167">
        <v>2</v>
      </c>
      <c r="D167" t="s">
        <v>89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25">
      <c r="A168" t="s">
        <v>72</v>
      </c>
      <c r="B168">
        <v>2025</v>
      </c>
      <c r="C168">
        <v>2</v>
      </c>
      <c r="D168" t="s">
        <v>89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25">
      <c r="A169" t="s">
        <v>72</v>
      </c>
      <c r="B169">
        <v>2025</v>
      </c>
      <c r="C169">
        <v>2</v>
      </c>
      <c r="D169" t="s">
        <v>89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25">
      <c r="A170" t="s">
        <v>72</v>
      </c>
      <c r="B170">
        <v>2025</v>
      </c>
      <c r="C170">
        <v>2</v>
      </c>
      <c r="D170" t="s">
        <v>89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25">
      <c r="A171" t="s">
        <v>72</v>
      </c>
      <c r="B171">
        <v>2025</v>
      </c>
      <c r="C171">
        <v>2</v>
      </c>
      <c r="D171" t="s">
        <v>89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25">
      <c r="A172" t="s">
        <v>72</v>
      </c>
      <c r="B172">
        <v>2025</v>
      </c>
      <c r="C172">
        <v>2</v>
      </c>
      <c r="D172" t="s">
        <v>89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25">
      <c r="A173" t="s">
        <v>72</v>
      </c>
      <c r="B173">
        <v>2025</v>
      </c>
      <c r="C173">
        <v>2</v>
      </c>
      <c r="D173" t="s">
        <v>89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25">
      <c r="A174" t="s">
        <v>72</v>
      </c>
      <c r="B174">
        <v>2025</v>
      </c>
      <c r="C174">
        <v>2</v>
      </c>
      <c r="D174" t="s">
        <v>89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25">
      <c r="A175" t="s">
        <v>72</v>
      </c>
      <c r="B175">
        <v>2025</v>
      </c>
      <c r="C175">
        <v>2</v>
      </c>
      <c r="D175" t="s">
        <v>89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25">
      <c r="A176" t="s">
        <v>72</v>
      </c>
      <c r="B176">
        <v>2025</v>
      </c>
      <c r="C176">
        <v>2</v>
      </c>
      <c r="D176" t="s">
        <v>89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25">
      <c r="A177" t="s">
        <v>72</v>
      </c>
      <c r="B177">
        <v>2025</v>
      </c>
      <c r="C177">
        <v>2</v>
      </c>
      <c r="D177" t="s">
        <v>89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25">
      <c r="A178" t="s">
        <v>72</v>
      </c>
      <c r="B178">
        <v>2025</v>
      </c>
      <c r="C178">
        <v>2</v>
      </c>
      <c r="D178" t="s">
        <v>89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25">
      <c r="A179" t="s">
        <v>72</v>
      </c>
      <c r="B179">
        <v>2025</v>
      </c>
      <c r="C179">
        <v>2</v>
      </c>
      <c r="D179" t="s">
        <v>89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25">
      <c r="A180" t="s">
        <v>72</v>
      </c>
      <c r="B180">
        <v>2025</v>
      </c>
      <c r="C180">
        <v>2</v>
      </c>
      <c r="D180" t="s">
        <v>89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25">
      <c r="A181" t="s">
        <v>72</v>
      </c>
      <c r="B181">
        <v>2025</v>
      </c>
      <c r="C181">
        <v>2</v>
      </c>
      <c r="D181" t="s">
        <v>89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25">
      <c r="A182" t="s">
        <v>72</v>
      </c>
      <c r="B182">
        <v>2025</v>
      </c>
      <c r="C182">
        <v>2</v>
      </c>
      <c r="D182" t="s">
        <v>89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25">
      <c r="A183" t="s">
        <v>72</v>
      </c>
      <c r="B183">
        <v>2025</v>
      </c>
      <c r="C183">
        <v>2</v>
      </c>
      <c r="D183" t="s">
        <v>89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25">
      <c r="A184" t="s">
        <v>72</v>
      </c>
      <c r="B184">
        <v>2025</v>
      </c>
      <c r="C184">
        <v>2</v>
      </c>
      <c r="D184" t="s">
        <v>89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25">
      <c r="A185" t="s">
        <v>72</v>
      </c>
      <c r="B185">
        <v>2025</v>
      </c>
      <c r="C185">
        <v>2</v>
      </c>
      <c r="D185" t="s">
        <v>89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25">
      <c r="A186" t="s">
        <v>72</v>
      </c>
      <c r="B186">
        <v>2025</v>
      </c>
      <c r="C186">
        <v>2</v>
      </c>
      <c r="D186" t="s">
        <v>89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25">
      <c r="A187" t="s">
        <v>72</v>
      </c>
      <c r="B187">
        <v>2025</v>
      </c>
      <c r="C187">
        <v>2</v>
      </c>
      <c r="D187" t="s">
        <v>89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25">
      <c r="A188" t="s">
        <v>72</v>
      </c>
      <c r="B188">
        <v>2025</v>
      </c>
      <c r="C188">
        <v>2</v>
      </c>
      <c r="D188" t="s">
        <v>89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25">
      <c r="A189" t="s">
        <v>72</v>
      </c>
      <c r="B189">
        <v>2025</v>
      </c>
      <c r="C189">
        <v>2</v>
      </c>
      <c r="D189" t="s">
        <v>89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25">
      <c r="A190" t="s">
        <v>72</v>
      </c>
      <c r="B190">
        <v>2025</v>
      </c>
      <c r="C190">
        <v>2</v>
      </c>
      <c r="D190" t="s">
        <v>89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25">
      <c r="A191" t="s">
        <v>72</v>
      </c>
      <c r="B191">
        <v>2025</v>
      </c>
      <c r="C191">
        <v>2</v>
      </c>
      <c r="D191" t="s">
        <v>89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25">
      <c r="A192" t="s">
        <v>72</v>
      </c>
      <c r="B192">
        <v>2025</v>
      </c>
      <c r="C192">
        <v>2</v>
      </c>
      <c r="D192" t="s">
        <v>89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25">
      <c r="A193" t="s">
        <v>72</v>
      </c>
      <c r="B193">
        <v>2025</v>
      </c>
      <c r="C193">
        <v>2</v>
      </c>
      <c r="D193" t="s">
        <v>89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25">
      <c r="A194" t="s">
        <v>72</v>
      </c>
      <c r="B194">
        <v>2025</v>
      </c>
      <c r="C194">
        <v>2</v>
      </c>
      <c r="D194" t="s">
        <v>89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25">
      <c r="A195" t="s">
        <v>72</v>
      </c>
      <c r="B195">
        <v>2025</v>
      </c>
      <c r="C195">
        <v>2</v>
      </c>
      <c r="D195" t="s">
        <v>89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25">
      <c r="A196" t="s">
        <v>72</v>
      </c>
      <c r="B196">
        <v>2025</v>
      </c>
      <c r="C196">
        <v>2</v>
      </c>
      <c r="D196" t="s">
        <v>89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25">
      <c r="A197" t="s">
        <v>72</v>
      </c>
      <c r="B197">
        <v>2025</v>
      </c>
      <c r="C197">
        <v>2</v>
      </c>
      <c r="D197" t="s">
        <v>89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9" spans="1:36" s="2" customFormat="1" x14ac:dyDescent="0.25">
      <c r="A199" s="6" t="s">
        <v>0</v>
      </c>
      <c r="B199" s="6" t="s">
        <v>8</v>
      </c>
      <c r="C199" s="6" t="s">
        <v>1</v>
      </c>
      <c r="D199" s="6" t="s">
        <v>2</v>
      </c>
      <c r="E199" s="6" t="s">
        <v>61</v>
      </c>
      <c r="F199" s="6" t="s">
        <v>62</v>
      </c>
      <c r="G199" s="6" t="s">
        <v>63</v>
      </c>
      <c r="H199" s="6" t="s">
        <v>11</v>
      </c>
      <c r="I199" s="6" t="s">
        <v>12</v>
      </c>
      <c r="J199" s="6" t="s">
        <v>56</v>
      </c>
      <c r="K199" s="6" t="s">
        <v>55</v>
      </c>
      <c r="L199" s="6" t="s">
        <v>29</v>
      </c>
    </row>
    <row r="200" spans="1:36" s="5" customFormat="1" x14ac:dyDescent="0.25">
      <c r="A200" t="s">
        <v>80</v>
      </c>
      <c r="B200">
        <v>2025</v>
      </c>
      <c r="C200">
        <v>2</v>
      </c>
      <c r="D200" t="s">
        <v>89</v>
      </c>
      <c r="E200" t="s">
        <v>49</v>
      </c>
      <c r="F200" t="s">
        <v>50</v>
      </c>
      <c r="G200" t="s">
        <v>34</v>
      </c>
      <c r="H200" t="s">
        <v>35</v>
      </c>
      <c r="I200">
        <v>127160</v>
      </c>
      <c r="J200" t="s">
        <v>60</v>
      </c>
      <c r="K200" t="s">
        <v>73</v>
      </c>
    </row>
    <row r="201" spans="1:36" s="5" customFormat="1" x14ac:dyDescent="0.25">
      <c r="A201" t="s">
        <v>80</v>
      </c>
      <c r="B201">
        <v>2025</v>
      </c>
      <c r="C201">
        <v>2</v>
      </c>
      <c r="D201" t="s">
        <v>89</v>
      </c>
      <c r="E201" t="s">
        <v>49</v>
      </c>
      <c r="F201" t="s">
        <v>78</v>
      </c>
      <c r="G201" t="s">
        <v>34</v>
      </c>
      <c r="H201" t="s">
        <v>35</v>
      </c>
      <c r="I201">
        <v>127160</v>
      </c>
      <c r="J201" t="s">
        <v>60</v>
      </c>
      <c r="K201" t="s">
        <v>73</v>
      </c>
    </row>
    <row r="202" spans="1:36" x14ac:dyDescent="0.25">
      <c r="A202" t="s">
        <v>80</v>
      </c>
      <c r="B202">
        <v>2025</v>
      </c>
      <c r="C202">
        <v>2</v>
      </c>
      <c r="D202" t="s">
        <v>89</v>
      </c>
      <c r="E202" t="s">
        <v>49</v>
      </c>
      <c r="F202" t="s">
        <v>79</v>
      </c>
      <c r="G202" t="s">
        <v>34</v>
      </c>
      <c r="H202" t="s">
        <v>35</v>
      </c>
      <c r="I202">
        <v>127160</v>
      </c>
      <c r="J202" t="s">
        <v>60</v>
      </c>
      <c r="K202" t="s">
        <v>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1DDA-8AB8-493D-BEC5-C60E41AE284D}">
  <sheetPr>
    <tabColor rgb="FFFFFF00"/>
  </sheetPr>
  <dimension ref="A1:AE21"/>
  <sheetViews>
    <sheetView tabSelected="1" topLeftCell="R1" zoomScale="70" zoomScaleNormal="70" workbookViewId="0">
      <selection activeCell="O1" sqref="O1"/>
    </sheetView>
  </sheetViews>
  <sheetFormatPr defaultRowHeight="15" x14ac:dyDescent="0.25"/>
  <cols>
    <col min="1" max="1" width="16.5703125" customWidth="1"/>
    <col min="2" max="2" width="30.85546875" customWidth="1"/>
    <col min="3" max="3" width="11" customWidth="1"/>
    <col min="4" max="4" width="34.7109375" customWidth="1"/>
    <col min="5" max="5" width="38.5703125" customWidth="1"/>
    <col min="6" max="6" width="41.42578125" bestFit="1" customWidth="1"/>
    <col min="7" max="7" width="44.42578125" customWidth="1"/>
    <col min="8" max="9" width="22.28515625" bestFit="1" customWidth="1"/>
    <col min="10" max="10" width="31.85546875" customWidth="1"/>
    <col min="11" max="12" width="22.28515625" customWidth="1"/>
    <col min="13" max="13" width="18.28515625" customWidth="1"/>
    <col min="14" max="14" width="18.42578125" customWidth="1"/>
    <col min="15" max="15" width="16.7109375" bestFit="1" customWidth="1"/>
    <col min="16" max="16" width="12.42578125" customWidth="1"/>
    <col min="17" max="18" width="14" bestFit="1" customWidth="1"/>
    <col min="19" max="19" width="18.28515625" customWidth="1"/>
    <col min="20" max="20" width="12.28515625" bestFit="1" customWidth="1"/>
    <col min="21" max="21" width="31" bestFit="1" customWidth="1"/>
    <col min="22" max="22" width="24.140625" bestFit="1" customWidth="1"/>
    <col min="23" max="23" width="26.42578125" bestFit="1" customWidth="1"/>
    <col min="24" max="25" width="39.7109375" bestFit="1" customWidth="1"/>
    <col min="26" max="26" width="39.7109375" customWidth="1"/>
    <col min="27" max="27" width="40.7109375" customWidth="1"/>
    <col min="28" max="28" width="37.28515625" customWidth="1"/>
    <col min="29" max="29" width="15.7109375" customWidth="1"/>
    <col min="30" max="30" width="17" customWidth="1"/>
    <col min="31" max="31" width="21.7109375" customWidth="1"/>
    <col min="32" max="32" width="12.7109375" bestFit="1" customWidth="1"/>
    <col min="33" max="33" width="9.5703125" bestFit="1" customWidth="1"/>
    <col min="34" max="34" width="14.140625" customWidth="1"/>
    <col min="35" max="35" width="23.140625" bestFit="1" customWidth="1"/>
    <col min="36" max="36" width="24.5703125" bestFit="1" customWidth="1"/>
    <col min="37" max="37" width="27.42578125" customWidth="1"/>
    <col min="38" max="38" width="21.85546875" customWidth="1"/>
    <col min="39" max="39" width="23" customWidth="1"/>
    <col min="40" max="40" width="12.7109375" bestFit="1" customWidth="1"/>
    <col min="41" max="41" width="11.42578125" customWidth="1"/>
  </cols>
  <sheetData>
    <row r="1" spans="1:31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t="s">
        <v>30</v>
      </c>
      <c r="B2">
        <v>2025</v>
      </c>
      <c r="C2">
        <v>3</v>
      </c>
      <c r="D2" t="s">
        <v>91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25">
      <c r="A3" t="s">
        <v>30</v>
      </c>
      <c r="B3">
        <v>2025</v>
      </c>
      <c r="C3">
        <v>3</v>
      </c>
      <c r="D3" t="s">
        <v>91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25">
      <c r="A4" t="s">
        <v>30</v>
      </c>
      <c r="B4">
        <v>2025</v>
      </c>
      <c r="C4">
        <v>3</v>
      </c>
      <c r="D4" t="s">
        <v>91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25">
      <c r="A5" t="s">
        <v>30</v>
      </c>
      <c r="B5">
        <v>2025</v>
      </c>
      <c r="C5">
        <v>3</v>
      </c>
      <c r="D5" t="s">
        <v>91</v>
      </c>
      <c r="E5" t="s">
        <v>49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25">
      <c r="A6" t="s">
        <v>30</v>
      </c>
      <c r="B6">
        <v>2025</v>
      </c>
      <c r="C6">
        <v>3</v>
      </c>
      <c r="D6" t="s">
        <v>91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25">
      <c r="A7" t="s">
        <v>30</v>
      </c>
      <c r="B7">
        <v>2025</v>
      </c>
      <c r="C7">
        <v>3</v>
      </c>
      <c r="D7" t="s">
        <v>91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25">
      <c r="A8" t="s">
        <v>30</v>
      </c>
      <c r="B8">
        <v>2025</v>
      </c>
      <c r="C8">
        <v>3</v>
      </c>
      <c r="D8" t="s">
        <v>91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25">
      <c r="A9" t="s">
        <v>30</v>
      </c>
      <c r="B9">
        <v>2025</v>
      </c>
      <c r="C9">
        <v>3</v>
      </c>
      <c r="D9" t="s">
        <v>91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25">
      <c r="A10" t="s">
        <v>30</v>
      </c>
      <c r="B10">
        <v>2025</v>
      </c>
      <c r="C10">
        <v>3</v>
      </c>
      <c r="D10" t="s">
        <v>91</v>
      </c>
      <c r="E10" t="s">
        <v>49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523.418731364515</v>
      </c>
    </row>
    <row r="11" spans="1:31" x14ac:dyDescent="0.25">
      <c r="A11" t="s">
        <v>30</v>
      </c>
      <c r="B11">
        <v>2025</v>
      </c>
      <c r="C11">
        <v>3</v>
      </c>
      <c r="D11" t="s">
        <v>91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1819.45994532345</v>
      </c>
    </row>
    <row r="12" spans="1:31" x14ac:dyDescent="0.25">
      <c r="A12" t="s">
        <v>30</v>
      </c>
      <c r="B12">
        <v>2025</v>
      </c>
      <c r="C12">
        <v>3</v>
      </c>
      <c r="D12" t="s">
        <v>91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206.82454807327201</v>
      </c>
    </row>
    <row r="13" spans="1:31" x14ac:dyDescent="0.25">
      <c r="A13" t="s">
        <v>30</v>
      </c>
      <c r="B13">
        <v>2025</v>
      </c>
      <c r="C13">
        <v>3</v>
      </c>
      <c r="D13" t="s">
        <v>91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25">
      <c r="A14" t="s">
        <v>30</v>
      </c>
      <c r="B14">
        <v>2025</v>
      </c>
      <c r="C14">
        <v>3</v>
      </c>
      <c r="D14" t="s">
        <v>91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25">
      <c r="A15" t="s">
        <v>30</v>
      </c>
      <c r="B15">
        <v>2025</v>
      </c>
      <c r="C15">
        <v>3</v>
      </c>
      <c r="D15" t="s">
        <v>91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6" spans="1:31" x14ac:dyDescent="0.25">
      <c r="A16" t="s">
        <v>30</v>
      </c>
      <c r="B16">
        <v>2025</v>
      </c>
      <c r="C16">
        <v>3</v>
      </c>
      <c r="D16" t="s">
        <v>91</v>
      </c>
      <c r="H16" t="s">
        <v>32</v>
      </c>
      <c r="I16" t="s">
        <v>33</v>
      </c>
      <c r="J16" t="s">
        <v>32</v>
      </c>
      <c r="L16">
        <v>2023</v>
      </c>
      <c r="M16" t="s">
        <v>34</v>
      </c>
      <c r="N16" t="s">
        <v>35</v>
      </c>
      <c r="O16">
        <v>127160</v>
      </c>
      <c r="P16" t="s">
        <v>53</v>
      </c>
      <c r="Q16" t="s">
        <v>37</v>
      </c>
      <c r="R16">
        <v>1</v>
      </c>
      <c r="S16" t="s">
        <v>38</v>
      </c>
      <c r="T16" t="s">
        <v>52</v>
      </c>
      <c r="V16" t="s">
        <v>40</v>
      </c>
      <c r="W16" t="s">
        <v>41</v>
      </c>
      <c r="X16" t="s">
        <v>43</v>
      </c>
      <c r="Y16" t="s">
        <v>44</v>
      </c>
      <c r="Z16">
        <v>32665.5</v>
      </c>
    </row>
    <row r="18" spans="1:27" s="2" customFormat="1" x14ac:dyDescent="0.25">
      <c r="A18" s="1" t="s">
        <v>0</v>
      </c>
      <c r="B18" s="1" t="s">
        <v>8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6</v>
      </c>
      <c r="H18" s="1" t="s">
        <v>7</v>
      </c>
      <c r="I18" s="1" t="s">
        <v>83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  <c r="V18" s="1" t="s">
        <v>58</v>
      </c>
      <c r="W18" s="1" t="s">
        <v>56</v>
      </c>
      <c r="X18" s="1" t="s">
        <v>54</v>
      </c>
      <c r="Y18" s="1" t="s">
        <v>55</v>
      </c>
      <c r="Z18" s="1" t="s">
        <v>57</v>
      </c>
      <c r="AA18" s="1" t="s">
        <v>29</v>
      </c>
    </row>
    <row r="19" spans="1:27" x14ac:dyDescent="0.25">
      <c r="A19" t="s">
        <v>59</v>
      </c>
      <c r="B19">
        <v>2025</v>
      </c>
      <c r="C19">
        <v>3</v>
      </c>
      <c r="D19" t="s">
        <v>91</v>
      </c>
      <c r="E19" t="s">
        <v>49</v>
      </c>
      <c r="F19" t="s">
        <v>50</v>
      </c>
      <c r="G19" t="s">
        <v>33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37</v>
      </c>
      <c r="P19">
        <v>1</v>
      </c>
      <c r="Q19" t="s">
        <v>38</v>
      </c>
      <c r="R19" t="s">
        <v>39</v>
      </c>
      <c r="T19" t="s">
        <v>40</v>
      </c>
      <c r="U19" t="s">
        <v>41</v>
      </c>
      <c r="V19">
        <v>2.3996350197070956E-2</v>
      </c>
      <c r="W19" t="s">
        <v>60</v>
      </c>
      <c r="X19" t="s">
        <v>53</v>
      </c>
      <c r="Y19" t="s">
        <v>43</v>
      </c>
      <c r="Z19">
        <f>SUM(Z6)</f>
        <v>249986.1</v>
      </c>
    </row>
    <row r="20" spans="1:27" x14ac:dyDescent="0.25">
      <c r="A20" t="s">
        <v>59</v>
      </c>
      <c r="B20">
        <v>2025</v>
      </c>
      <c r="C20">
        <v>3</v>
      </c>
      <c r="D20" t="s">
        <v>91</v>
      </c>
      <c r="E20" t="s">
        <v>49</v>
      </c>
      <c r="F20" t="s">
        <v>50</v>
      </c>
      <c r="G20" t="s">
        <v>46</v>
      </c>
      <c r="H20" t="s">
        <v>32</v>
      </c>
      <c r="J20">
        <v>2024</v>
      </c>
      <c r="K20" t="s">
        <v>34</v>
      </c>
      <c r="L20" t="s">
        <v>35</v>
      </c>
      <c r="M20">
        <v>127160</v>
      </c>
      <c r="N20" t="s">
        <v>36</v>
      </c>
      <c r="O20" t="s">
        <v>47</v>
      </c>
      <c r="P20">
        <v>2024</v>
      </c>
      <c r="Q20" t="s">
        <v>38</v>
      </c>
      <c r="R20" t="s">
        <v>48</v>
      </c>
      <c r="T20" t="s">
        <v>40</v>
      </c>
      <c r="U20" t="s">
        <v>41</v>
      </c>
      <c r="V20">
        <v>5.7017641663284616E-2</v>
      </c>
      <c r="W20" t="s">
        <v>60</v>
      </c>
      <c r="X20" t="s">
        <v>53</v>
      </c>
      <c r="Y20" t="s">
        <v>43</v>
      </c>
      <c r="Z20">
        <f>SUM(Z7:Z7)</f>
        <v>672669</v>
      </c>
    </row>
    <row r="21" spans="1:27" x14ac:dyDescent="0.25">
      <c r="A21" t="s">
        <v>59</v>
      </c>
      <c r="B21">
        <v>2025</v>
      </c>
      <c r="C21">
        <v>3</v>
      </c>
      <c r="D21" t="s">
        <v>91</v>
      </c>
      <c r="E21" t="s">
        <v>49</v>
      </c>
      <c r="F21" t="s">
        <v>78</v>
      </c>
      <c r="G21" t="s">
        <v>84</v>
      </c>
      <c r="H21" t="s">
        <v>32</v>
      </c>
      <c r="J21">
        <v>2024</v>
      </c>
      <c r="K21" t="s">
        <v>34</v>
      </c>
      <c r="L21" t="s">
        <v>35</v>
      </c>
      <c r="M21">
        <v>127160</v>
      </c>
      <c r="N21" t="s">
        <v>36</v>
      </c>
      <c r="O21" t="s">
        <v>47</v>
      </c>
      <c r="P21">
        <v>2024</v>
      </c>
      <c r="Q21" t="s">
        <v>38</v>
      </c>
      <c r="R21" t="s">
        <v>39</v>
      </c>
      <c r="T21" t="s">
        <v>40</v>
      </c>
      <c r="U21" t="s">
        <v>41</v>
      </c>
      <c r="V21">
        <v>5.9766999524488829E-2</v>
      </c>
      <c r="W21" t="s">
        <v>60</v>
      </c>
      <c r="X21" t="s">
        <v>53</v>
      </c>
      <c r="Y21" t="s">
        <v>43</v>
      </c>
      <c r="Z21">
        <f>Z8</f>
        <v>210300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A7F2-1A0E-4BEE-8FE9-2ECE27DB5990}">
  <sheetPr>
    <tabColor rgb="FFFFFF00"/>
  </sheetPr>
  <dimension ref="A1:AR217"/>
  <sheetViews>
    <sheetView topLeftCell="A193" zoomScale="60" zoomScaleNormal="60" workbookViewId="0">
      <selection activeCell="K232" sqref="K232"/>
    </sheetView>
  </sheetViews>
  <sheetFormatPr defaultRowHeight="15" x14ac:dyDescent="0.25"/>
  <cols>
    <col min="1" max="1" width="15.140625" customWidth="1"/>
    <col min="2" max="2" width="24" customWidth="1"/>
    <col min="3" max="3" width="10.7109375" customWidth="1"/>
    <col min="4" max="4" width="34" customWidth="1"/>
    <col min="5" max="5" width="46.5703125" customWidth="1"/>
    <col min="6" max="6" width="47.28515625" customWidth="1"/>
    <col min="7" max="7" width="54.7109375" customWidth="1"/>
    <col min="8" max="8" width="30" customWidth="1"/>
    <col min="9" max="9" width="28" customWidth="1"/>
    <col min="10" max="10" width="22.7109375" bestFit="1" customWidth="1"/>
    <col min="11" max="12" width="25.42578125" customWidth="1"/>
    <col min="13" max="13" width="16.42578125" customWidth="1"/>
    <col min="14" max="14" width="18.140625" customWidth="1"/>
    <col min="15" max="15" width="17.42578125" bestFit="1" customWidth="1"/>
    <col min="16" max="16" width="19.28515625" bestFit="1" customWidth="1"/>
    <col min="17" max="17" width="18.7109375" bestFit="1" customWidth="1"/>
    <col min="18" max="18" width="15.42578125" bestFit="1" customWidth="1"/>
    <col min="19" max="19" width="16.7109375" bestFit="1" customWidth="1"/>
    <col min="20" max="20" width="23.85546875" customWidth="1"/>
    <col min="21" max="21" width="32.7109375" bestFit="1" customWidth="1"/>
    <col min="22" max="22" width="34.140625" customWidth="1"/>
    <col min="23" max="23" width="23.42578125" customWidth="1"/>
    <col min="24" max="24" width="26.7109375" bestFit="1" customWidth="1"/>
    <col min="25" max="25" width="44.7109375" customWidth="1"/>
    <col min="26" max="26" width="48" customWidth="1"/>
    <col min="27" max="27" width="40.5703125" customWidth="1"/>
    <col min="28" max="30" width="28" customWidth="1"/>
    <col min="31" max="31" width="24.7109375" customWidth="1"/>
    <col min="32" max="32" width="23.5703125" customWidth="1"/>
    <col min="33" max="33" width="18.7109375" hidden="1" customWidth="1"/>
    <col min="34" max="34" width="27.28515625" hidden="1" customWidth="1"/>
    <col min="35" max="35" width="20.28515625" hidden="1" customWidth="1"/>
    <col min="36" max="36" width="32.42578125" customWidth="1"/>
    <col min="37" max="37" width="19.28515625" bestFit="1" customWidth="1"/>
    <col min="38" max="38" width="28.7109375" customWidth="1"/>
    <col min="39" max="39" width="13.7109375" bestFit="1" customWidth="1"/>
    <col min="40" max="40" width="12" bestFit="1" customWidth="1"/>
    <col min="41" max="41" width="16.28515625" customWidth="1"/>
    <col min="42" max="42" width="11" bestFit="1" customWidth="1"/>
    <col min="43" max="43" width="13.7109375" bestFit="1" customWidth="1"/>
    <col min="44" max="44" width="13.28515625" bestFit="1" customWidth="1"/>
    <col min="45" max="45" width="25.42578125" bestFit="1" customWidth="1"/>
    <col min="46" max="46" width="16.28515625" customWidth="1"/>
    <col min="47" max="47" width="17.85546875" bestFit="1" customWidth="1"/>
    <col min="48" max="48" width="15.28515625" bestFit="1" customWidth="1"/>
    <col min="49" max="49" width="11.28515625" bestFit="1" customWidth="1"/>
    <col min="50" max="50" width="13.140625" bestFit="1" customWidth="1"/>
    <col min="51" max="51" width="9.7109375" bestFit="1" customWidth="1"/>
    <col min="52" max="52" width="12" bestFit="1" customWidth="1"/>
  </cols>
  <sheetData>
    <row r="1" spans="1:44" s="2" customForma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25">
      <c r="A2" t="s">
        <v>72</v>
      </c>
      <c r="B2">
        <v>2025</v>
      </c>
      <c r="C2">
        <v>3</v>
      </c>
      <c r="D2" t="s">
        <v>91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25">
      <c r="A3" t="s">
        <v>72</v>
      </c>
      <c r="B3">
        <v>2025</v>
      </c>
      <c r="C3">
        <v>3</v>
      </c>
      <c r="D3" t="s">
        <v>91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25">
      <c r="A4" t="s">
        <v>72</v>
      </c>
      <c r="B4">
        <v>2025</v>
      </c>
      <c r="C4">
        <v>3</v>
      </c>
      <c r="D4" t="s">
        <v>91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25">
      <c r="A5" t="s">
        <v>72</v>
      </c>
      <c r="B5">
        <v>2025</v>
      </c>
      <c r="C5">
        <v>3</v>
      </c>
      <c r="D5" t="s">
        <v>91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25">
      <c r="A6" t="s">
        <v>72</v>
      </c>
      <c r="B6">
        <v>2025</v>
      </c>
      <c r="C6">
        <v>3</v>
      </c>
      <c r="D6" t="s">
        <v>91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25">
      <c r="A7" t="s">
        <v>72</v>
      </c>
      <c r="B7">
        <v>2025</v>
      </c>
      <c r="C7">
        <v>3</v>
      </c>
      <c r="D7" t="s">
        <v>91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25">
      <c r="A8" t="s">
        <v>72</v>
      </c>
      <c r="B8">
        <v>2025</v>
      </c>
      <c r="C8">
        <v>3</v>
      </c>
      <c r="D8" t="s">
        <v>91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25">
      <c r="A9" t="s">
        <v>72</v>
      </c>
      <c r="B9">
        <v>2025</v>
      </c>
      <c r="C9">
        <v>3</v>
      </c>
      <c r="D9" t="s">
        <v>91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25">
      <c r="A10" t="s">
        <v>72</v>
      </c>
      <c r="B10">
        <v>2025</v>
      </c>
      <c r="C10">
        <v>3</v>
      </c>
      <c r="D10" t="s">
        <v>91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25">
      <c r="A11" t="s">
        <v>72</v>
      </c>
      <c r="B11">
        <v>2025</v>
      </c>
      <c r="C11">
        <v>3</v>
      </c>
      <c r="D11" t="s">
        <v>91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25">
      <c r="A12" t="s">
        <v>72</v>
      </c>
      <c r="B12">
        <v>2025</v>
      </c>
      <c r="C12">
        <v>3</v>
      </c>
      <c r="D12" t="s">
        <v>91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25">
      <c r="A13" t="s">
        <v>72</v>
      </c>
      <c r="B13">
        <v>2025</v>
      </c>
      <c r="C13">
        <v>3</v>
      </c>
      <c r="D13" t="s">
        <v>91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25">
      <c r="A14" t="s">
        <v>72</v>
      </c>
      <c r="B14">
        <v>2025</v>
      </c>
      <c r="C14">
        <v>3</v>
      </c>
      <c r="D14" t="s">
        <v>91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25">
      <c r="A15" t="s">
        <v>72</v>
      </c>
      <c r="B15">
        <v>2025</v>
      </c>
      <c r="C15">
        <v>3</v>
      </c>
      <c r="D15" t="s">
        <v>91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25">
      <c r="A16" t="s">
        <v>72</v>
      </c>
      <c r="B16">
        <v>2025</v>
      </c>
      <c r="C16">
        <v>3</v>
      </c>
      <c r="D16" t="s">
        <v>91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25">
      <c r="A17" t="s">
        <v>72</v>
      </c>
      <c r="B17">
        <v>2025</v>
      </c>
      <c r="C17">
        <v>3</v>
      </c>
      <c r="D17" t="s">
        <v>91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25">
      <c r="A18" t="s">
        <v>72</v>
      </c>
      <c r="B18">
        <v>2025</v>
      </c>
      <c r="C18">
        <v>3</v>
      </c>
      <c r="D18" t="s">
        <v>91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25">
      <c r="A19" t="s">
        <v>72</v>
      </c>
      <c r="B19">
        <v>2025</v>
      </c>
      <c r="C19">
        <v>3</v>
      </c>
      <c r="D19" t="s">
        <v>91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25">
      <c r="A20" t="s">
        <v>72</v>
      </c>
      <c r="B20">
        <v>2025</v>
      </c>
      <c r="C20">
        <v>3</v>
      </c>
      <c r="D20" t="s">
        <v>91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25">
      <c r="A21" t="s">
        <v>72</v>
      </c>
      <c r="B21">
        <v>2025</v>
      </c>
      <c r="C21">
        <v>3</v>
      </c>
      <c r="D21" t="s">
        <v>91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25">
      <c r="A22" t="s">
        <v>72</v>
      </c>
      <c r="B22">
        <v>2025</v>
      </c>
      <c r="C22">
        <v>3</v>
      </c>
      <c r="D22" t="s">
        <v>91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25">
      <c r="A23" t="s">
        <v>72</v>
      </c>
      <c r="B23">
        <v>2025</v>
      </c>
      <c r="C23">
        <v>3</v>
      </c>
      <c r="D23" t="s">
        <v>91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25">
      <c r="A24" t="s">
        <v>72</v>
      </c>
      <c r="B24">
        <v>2025</v>
      </c>
      <c r="C24">
        <v>3</v>
      </c>
      <c r="D24" t="s">
        <v>91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25">
      <c r="A25" t="s">
        <v>72</v>
      </c>
      <c r="B25">
        <v>2025</v>
      </c>
      <c r="C25">
        <v>3</v>
      </c>
      <c r="D25" t="s">
        <v>91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25">
      <c r="A26" t="s">
        <v>72</v>
      </c>
      <c r="B26">
        <v>2025</v>
      </c>
      <c r="C26">
        <v>3</v>
      </c>
      <c r="D26" t="s">
        <v>91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25">
      <c r="A27" t="s">
        <v>72</v>
      </c>
      <c r="B27">
        <v>2025</v>
      </c>
      <c r="C27">
        <v>3</v>
      </c>
      <c r="D27" t="s">
        <v>91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25">
      <c r="A28" t="s">
        <v>72</v>
      </c>
      <c r="B28">
        <v>2025</v>
      </c>
      <c r="C28">
        <v>3</v>
      </c>
      <c r="D28" t="s">
        <v>91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25">
      <c r="A29" t="s">
        <v>72</v>
      </c>
      <c r="B29">
        <v>2025</v>
      </c>
      <c r="C29">
        <v>3</v>
      </c>
      <c r="D29" t="s">
        <v>91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25">
      <c r="A30" t="s">
        <v>72</v>
      </c>
      <c r="B30">
        <v>2025</v>
      </c>
      <c r="C30">
        <v>3</v>
      </c>
      <c r="D30" t="s">
        <v>91</v>
      </c>
      <c r="G30" t="s">
        <v>79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25">
      <c r="A31" t="s">
        <v>72</v>
      </c>
      <c r="B31">
        <v>2025</v>
      </c>
      <c r="C31">
        <v>3</v>
      </c>
      <c r="D31" t="s">
        <v>91</v>
      </c>
      <c r="G31" t="s">
        <v>79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25">
      <c r="A32" t="s">
        <v>72</v>
      </c>
      <c r="B32">
        <v>2025</v>
      </c>
      <c r="C32">
        <v>3</v>
      </c>
      <c r="D32" t="s">
        <v>91</v>
      </c>
      <c r="G32" t="s">
        <v>79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25">
      <c r="A33" t="s">
        <v>72</v>
      </c>
      <c r="B33">
        <v>2025</v>
      </c>
      <c r="C33">
        <v>3</v>
      </c>
      <c r="D33" t="s">
        <v>91</v>
      </c>
      <c r="G33" t="s">
        <v>79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25">
      <c r="A34" t="s">
        <v>72</v>
      </c>
      <c r="B34">
        <v>2025</v>
      </c>
      <c r="C34">
        <v>3</v>
      </c>
      <c r="D34" t="s">
        <v>91</v>
      </c>
      <c r="G34" t="s">
        <v>79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25">
      <c r="A35" t="s">
        <v>72</v>
      </c>
      <c r="B35">
        <v>2025</v>
      </c>
      <c r="C35">
        <v>3</v>
      </c>
      <c r="D35" t="s">
        <v>91</v>
      </c>
      <c r="G35" t="s">
        <v>79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25">
      <c r="A36" t="s">
        <v>72</v>
      </c>
      <c r="B36">
        <v>2025</v>
      </c>
      <c r="C36">
        <v>3</v>
      </c>
      <c r="D36" t="s">
        <v>91</v>
      </c>
      <c r="G36" t="s">
        <v>79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25">
      <c r="A37" t="s">
        <v>72</v>
      </c>
      <c r="B37">
        <v>2025</v>
      </c>
      <c r="C37">
        <v>3</v>
      </c>
      <c r="D37" t="s">
        <v>91</v>
      </c>
      <c r="G37" t="s">
        <v>79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25">
      <c r="A38" t="s">
        <v>72</v>
      </c>
      <c r="B38">
        <v>2025</v>
      </c>
      <c r="C38">
        <v>3</v>
      </c>
      <c r="D38" t="s">
        <v>91</v>
      </c>
      <c r="G38" t="s">
        <v>79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25">
      <c r="A39" t="s">
        <v>72</v>
      </c>
      <c r="B39">
        <v>2025</v>
      </c>
      <c r="C39">
        <v>3</v>
      </c>
      <c r="D39" t="s">
        <v>91</v>
      </c>
      <c r="G39" t="s">
        <v>79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25">
      <c r="A40" t="s">
        <v>72</v>
      </c>
      <c r="B40">
        <v>2025</v>
      </c>
      <c r="C40">
        <v>3</v>
      </c>
      <c r="D40" t="s">
        <v>91</v>
      </c>
      <c r="G40" t="s">
        <v>79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25">
      <c r="A41" t="s">
        <v>72</v>
      </c>
      <c r="B41">
        <v>2025</v>
      </c>
      <c r="C41">
        <v>3</v>
      </c>
      <c r="D41" t="s">
        <v>91</v>
      </c>
      <c r="G41" t="s">
        <v>79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25">
      <c r="A42" t="s">
        <v>72</v>
      </c>
      <c r="B42">
        <v>2025</v>
      </c>
      <c r="C42">
        <v>3</v>
      </c>
      <c r="D42" t="s">
        <v>91</v>
      </c>
      <c r="G42" t="s">
        <v>79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25">
      <c r="A43" t="s">
        <v>72</v>
      </c>
      <c r="B43">
        <v>2025</v>
      </c>
      <c r="C43">
        <v>3</v>
      </c>
      <c r="D43" t="s">
        <v>91</v>
      </c>
      <c r="G43" t="s">
        <v>79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25">
      <c r="A44" t="s">
        <v>72</v>
      </c>
      <c r="B44">
        <v>2025</v>
      </c>
      <c r="C44">
        <v>3</v>
      </c>
      <c r="D44" t="s">
        <v>91</v>
      </c>
      <c r="G44" t="s">
        <v>78</v>
      </c>
      <c r="H44" t="s">
        <v>32</v>
      </c>
      <c r="I44" t="s">
        <v>33</v>
      </c>
      <c r="J44" t="s">
        <v>32</v>
      </c>
      <c r="L44">
        <v>2023</v>
      </c>
      <c r="M44" t="s">
        <v>34</v>
      </c>
      <c r="N44" t="s">
        <v>35</v>
      </c>
      <c r="O44">
        <v>127160</v>
      </c>
      <c r="P44" t="s">
        <v>53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32665.5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102.70641721467223</v>
      </c>
    </row>
    <row r="45" spans="1:36" x14ac:dyDescent="0.25">
      <c r="A45" t="s">
        <v>72</v>
      </c>
      <c r="B45">
        <v>2025</v>
      </c>
      <c r="C45">
        <v>3</v>
      </c>
      <c r="D45" t="s">
        <v>91</v>
      </c>
      <c r="G45" t="s">
        <v>78</v>
      </c>
      <c r="H45" t="s">
        <v>32</v>
      </c>
      <c r="I45" t="s">
        <v>33</v>
      </c>
      <c r="J45" t="s">
        <v>32</v>
      </c>
      <c r="L45">
        <v>2023</v>
      </c>
      <c r="M45" t="s">
        <v>34</v>
      </c>
      <c r="N45" t="s">
        <v>35</v>
      </c>
      <c r="O45">
        <v>127160</v>
      </c>
      <c r="P45" t="s">
        <v>53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32665.5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150.08898296237729</v>
      </c>
    </row>
    <row r="46" spans="1:36" x14ac:dyDescent="0.25">
      <c r="A46" t="s">
        <v>72</v>
      </c>
      <c r="B46">
        <v>2025</v>
      </c>
      <c r="C46">
        <v>3</v>
      </c>
      <c r="D46" t="s">
        <v>91</v>
      </c>
      <c r="G46" t="s">
        <v>78</v>
      </c>
      <c r="H46" t="s">
        <v>32</v>
      </c>
      <c r="I46" t="s">
        <v>33</v>
      </c>
      <c r="J46" t="s">
        <v>32</v>
      </c>
      <c r="L46">
        <v>2023</v>
      </c>
      <c r="M46" t="s">
        <v>34</v>
      </c>
      <c r="N46" t="s">
        <v>35</v>
      </c>
      <c r="O46">
        <v>127160</v>
      </c>
      <c r="P46" t="s">
        <v>53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32665.5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48.104965960254646</v>
      </c>
    </row>
    <row r="47" spans="1:36" x14ac:dyDescent="0.25">
      <c r="A47" t="s">
        <v>72</v>
      </c>
      <c r="B47">
        <v>2025</v>
      </c>
      <c r="C47">
        <v>3</v>
      </c>
      <c r="D47" t="s">
        <v>91</v>
      </c>
      <c r="G47" t="s">
        <v>78</v>
      </c>
      <c r="H47" t="s">
        <v>32</v>
      </c>
      <c r="I47" t="s">
        <v>33</v>
      </c>
      <c r="J47" t="s">
        <v>32</v>
      </c>
      <c r="L47">
        <v>2023</v>
      </c>
      <c r="M47" t="s">
        <v>34</v>
      </c>
      <c r="N47" t="s">
        <v>35</v>
      </c>
      <c r="O47">
        <v>127160</v>
      </c>
      <c r="P47" t="s">
        <v>53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32665.5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557.99778626460147</v>
      </c>
    </row>
    <row r="48" spans="1:36" x14ac:dyDescent="0.25">
      <c r="A48" t="s">
        <v>72</v>
      </c>
      <c r="B48">
        <v>2025</v>
      </c>
      <c r="C48">
        <v>3</v>
      </c>
      <c r="D48" t="s">
        <v>91</v>
      </c>
      <c r="G48" t="s">
        <v>78</v>
      </c>
      <c r="H48" t="s">
        <v>32</v>
      </c>
      <c r="I48" t="s">
        <v>33</v>
      </c>
      <c r="J48" t="s">
        <v>32</v>
      </c>
      <c r="L48">
        <v>2023</v>
      </c>
      <c r="M48" t="s">
        <v>34</v>
      </c>
      <c r="N48" t="s">
        <v>35</v>
      </c>
      <c r="O48">
        <v>127160</v>
      </c>
      <c r="P48" t="s">
        <v>53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32665.5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826.302827571987</v>
      </c>
    </row>
    <row r="49" spans="1:36" x14ac:dyDescent="0.25">
      <c r="A49" t="s">
        <v>72</v>
      </c>
      <c r="B49">
        <v>2025</v>
      </c>
      <c r="C49">
        <v>3</v>
      </c>
      <c r="D49" t="s">
        <v>91</v>
      </c>
      <c r="G49" t="s">
        <v>78</v>
      </c>
      <c r="H49" t="s">
        <v>32</v>
      </c>
      <c r="I49" t="s">
        <v>33</v>
      </c>
      <c r="J49" t="s">
        <v>32</v>
      </c>
      <c r="L49">
        <v>2023</v>
      </c>
      <c r="M49" t="s">
        <v>34</v>
      </c>
      <c r="N49" t="s">
        <v>35</v>
      </c>
      <c r="O49">
        <v>127160</v>
      </c>
      <c r="P49" t="s">
        <v>53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32665.5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819.38457843337267</v>
      </c>
    </row>
    <row r="50" spans="1:36" x14ac:dyDescent="0.25">
      <c r="A50" t="s">
        <v>72</v>
      </c>
      <c r="B50">
        <v>2025</v>
      </c>
      <c r="C50">
        <v>3</v>
      </c>
      <c r="D50" t="s">
        <v>91</v>
      </c>
      <c r="G50" t="s">
        <v>78</v>
      </c>
      <c r="H50" t="s">
        <v>32</v>
      </c>
      <c r="I50" t="s">
        <v>33</v>
      </c>
      <c r="J50" t="s">
        <v>32</v>
      </c>
      <c r="L50">
        <v>2023</v>
      </c>
      <c r="M50" t="s">
        <v>34</v>
      </c>
      <c r="N50" t="s">
        <v>35</v>
      </c>
      <c r="O50">
        <v>127160</v>
      </c>
      <c r="P50" t="s">
        <v>53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32665.5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1183.7249299904147</v>
      </c>
    </row>
    <row r="51" spans="1:36" x14ac:dyDescent="0.25">
      <c r="A51" t="s">
        <v>72</v>
      </c>
      <c r="B51">
        <v>2025</v>
      </c>
      <c r="C51">
        <v>3</v>
      </c>
      <c r="D51" t="s">
        <v>91</v>
      </c>
      <c r="G51" t="s">
        <v>78</v>
      </c>
      <c r="H51" t="s">
        <v>32</v>
      </c>
      <c r="I51" t="s">
        <v>33</v>
      </c>
      <c r="J51" t="s">
        <v>32</v>
      </c>
      <c r="L51">
        <v>2023</v>
      </c>
      <c r="M51" t="s">
        <v>34</v>
      </c>
      <c r="N51" t="s">
        <v>35</v>
      </c>
      <c r="O51">
        <v>127160</v>
      </c>
      <c r="P51" t="s">
        <v>53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32665.5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25">
      <c r="A52" t="s">
        <v>72</v>
      </c>
      <c r="B52">
        <v>2025</v>
      </c>
      <c r="C52">
        <v>3</v>
      </c>
      <c r="D52" t="s">
        <v>91</v>
      </c>
      <c r="G52" t="s">
        <v>78</v>
      </c>
      <c r="H52" t="s">
        <v>32</v>
      </c>
      <c r="I52" t="s">
        <v>33</v>
      </c>
      <c r="J52" t="s">
        <v>32</v>
      </c>
      <c r="L52">
        <v>2023</v>
      </c>
      <c r="M52" t="s">
        <v>34</v>
      </c>
      <c r="N52" t="s">
        <v>35</v>
      </c>
      <c r="O52">
        <v>127160</v>
      </c>
      <c r="P52" t="s">
        <v>53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32665.5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25">
      <c r="A53" t="s">
        <v>72</v>
      </c>
      <c r="B53">
        <v>2025</v>
      </c>
      <c r="C53">
        <v>3</v>
      </c>
      <c r="D53" t="s">
        <v>91</v>
      </c>
      <c r="G53" t="s">
        <v>78</v>
      </c>
      <c r="H53" t="s">
        <v>32</v>
      </c>
      <c r="I53" t="s">
        <v>33</v>
      </c>
      <c r="J53" t="s">
        <v>32</v>
      </c>
      <c r="L53">
        <v>2023</v>
      </c>
      <c r="M53" t="s">
        <v>34</v>
      </c>
      <c r="N53" t="s">
        <v>35</v>
      </c>
      <c r="O53">
        <v>127160</v>
      </c>
      <c r="P53" t="s">
        <v>53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32665.5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25">
      <c r="A54" t="s">
        <v>72</v>
      </c>
      <c r="B54">
        <v>2025</v>
      </c>
      <c r="C54">
        <v>3</v>
      </c>
      <c r="D54" t="s">
        <v>91</v>
      </c>
      <c r="G54" t="s">
        <v>78</v>
      </c>
      <c r="H54" t="s">
        <v>32</v>
      </c>
      <c r="I54" t="s">
        <v>33</v>
      </c>
      <c r="J54" t="s">
        <v>32</v>
      </c>
      <c r="L54">
        <v>2023</v>
      </c>
      <c r="M54" t="s">
        <v>34</v>
      </c>
      <c r="N54" t="s">
        <v>35</v>
      </c>
      <c r="O54">
        <v>127160</v>
      </c>
      <c r="P54" t="s">
        <v>53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32665.5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25">
      <c r="A55" t="s">
        <v>72</v>
      </c>
      <c r="B55">
        <v>2025</v>
      </c>
      <c r="C55">
        <v>3</v>
      </c>
      <c r="D55" t="s">
        <v>91</v>
      </c>
      <c r="G55" t="s">
        <v>78</v>
      </c>
      <c r="H55" t="s">
        <v>32</v>
      </c>
      <c r="I55" t="s">
        <v>33</v>
      </c>
      <c r="J55" t="s">
        <v>32</v>
      </c>
      <c r="L55">
        <v>2023</v>
      </c>
      <c r="M55" t="s">
        <v>34</v>
      </c>
      <c r="N55" t="s">
        <v>35</v>
      </c>
      <c r="O55">
        <v>127160</v>
      </c>
      <c r="P55" t="s">
        <v>53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32665.5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25">
      <c r="A56" t="s">
        <v>72</v>
      </c>
      <c r="B56">
        <v>2025</v>
      </c>
      <c r="C56">
        <v>3</v>
      </c>
      <c r="D56" t="s">
        <v>91</v>
      </c>
      <c r="G56" t="s">
        <v>78</v>
      </c>
      <c r="H56" t="s">
        <v>32</v>
      </c>
      <c r="I56" t="s">
        <v>33</v>
      </c>
      <c r="J56" t="s">
        <v>32</v>
      </c>
      <c r="L56">
        <v>2023</v>
      </c>
      <c r="M56" t="s">
        <v>34</v>
      </c>
      <c r="N56" t="s">
        <v>35</v>
      </c>
      <c r="O56">
        <v>127160</v>
      </c>
      <c r="P56" t="s">
        <v>53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32665.5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25">
      <c r="A57" t="s">
        <v>72</v>
      </c>
      <c r="B57">
        <v>2025</v>
      </c>
      <c r="C57">
        <v>3</v>
      </c>
      <c r="D57" t="s">
        <v>91</v>
      </c>
      <c r="G57" t="s">
        <v>78</v>
      </c>
      <c r="H57" t="s">
        <v>32</v>
      </c>
      <c r="I57" t="s">
        <v>33</v>
      </c>
      <c r="J57" t="s">
        <v>32</v>
      </c>
      <c r="L57">
        <v>2023</v>
      </c>
      <c r="M57" t="s">
        <v>34</v>
      </c>
      <c r="N57" t="s">
        <v>35</v>
      </c>
      <c r="O57">
        <v>127160</v>
      </c>
      <c r="P57" t="s">
        <v>53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32665.5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25">
      <c r="A58" t="s">
        <v>72</v>
      </c>
      <c r="B58">
        <v>2025</v>
      </c>
      <c r="C58">
        <v>3</v>
      </c>
      <c r="D58" t="s">
        <v>91</v>
      </c>
      <c r="E58" t="s">
        <v>95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52</v>
      </c>
      <c r="V58" t="s">
        <v>40</v>
      </c>
      <c r="W58" t="s">
        <v>41</v>
      </c>
      <c r="X58" t="s">
        <v>43</v>
      </c>
      <c r="Y58" t="s">
        <v>44</v>
      </c>
      <c r="Z58">
        <v>523.418731364515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1.6457259984233616</v>
      </c>
    </row>
    <row r="59" spans="1:36" x14ac:dyDescent="0.25">
      <c r="A59" t="s">
        <v>72</v>
      </c>
      <c r="B59">
        <v>2025</v>
      </c>
      <c r="C59">
        <v>3</v>
      </c>
      <c r="D59" t="s">
        <v>91</v>
      </c>
      <c r="E59" t="s">
        <v>95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52</v>
      </c>
      <c r="V59" t="s">
        <v>40</v>
      </c>
      <c r="W59" t="s">
        <v>41</v>
      </c>
      <c r="X59" t="s">
        <v>43</v>
      </c>
      <c r="Y59" t="s">
        <v>44</v>
      </c>
      <c r="Z59">
        <v>523.418731364515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2.4049650259128996</v>
      </c>
    </row>
    <row r="60" spans="1:36" x14ac:dyDescent="0.25">
      <c r="A60" t="s">
        <v>72</v>
      </c>
      <c r="B60">
        <v>2025</v>
      </c>
      <c r="C60">
        <v>3</v>
      </c>
      <c r="D60" t="s">
        <v>91</v>
      </c>
      <c r="E60" t="s">
        <v>95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52</v>
      </c>
      <c r="V60" t="s">
        <v>40</v>
      </c>
      <c r="W60" t="s">
        <v>41</v>
      </c>
      <c r="X60" t="s">
        <v>43</v>
      </c>
      <c r="Y60" t="s">
        <v>44</v>
      </c>
      <c r="Z60">
        <v>523.418731364515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0.77081447567769235</v>
      </c>
    </row>
    <row r="61" spans="1:36" x14ac:dyDescent="0.25">
      <c r="A61" t="s">
        <v>72</v>
      </c>
      <c r="B61">
        <v>2025</v>
      </c>
      <c r="C61">
        <v>3</v>
      </c>
      <c r="D61" t="s">
        <v>91</v>
      </c>
      <c r="E61" t="s">
        <v>95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52</v>
      </c>
      <c r="V61" t="s">
        <v>40</v>
      </c>
      <c r="W61" t="s">
        <v>41</v>
      </c>
      <c r="X61" t="s">
        <v>43</v>
      </c>
      <c r="Y61" t="s">
        <v>44</v>
      </c>
      <c r="Z61">
        <v>523.418731364515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8.9411303482519937</v>
      </c>
    </row>
    <row r="62" spans="1:36" x14ac:dyDescent="0.25">
      <c r="A62" t="s">
        <v>72</v>
      </c>
      <c r="B62">
        <v>2025</v>
      </c>
      <c r="C62">
        <v>3</v>
      </c>
      <c r="D62" t="s">
        <v>91</v>
      </c>
      <c r="E62" t="s">
        <v>95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52</v>
      </c>
      <c r="V62" t="s">
        <v>40</v>
      </c>
      <c r="W62" t="s">
        <v>41</v>
      </c>
      <c r="X62" t="s">
        <v>43</v>
      </c>
      <c r="Y62" t="s">
        <v>44</v>
      </c>
      <c r="Z62">
        <v>523.418731364515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13.240341575382008</v>
      </c>
    </row>
    <row r="63" spans="1:36" x14ac:dyDescent="0.25">
      <c r="A63" t="s">
        <v>72</v>
      </c>
      <c r="B63">
        <v>2025</v>
      </c>
      <c r="C63">
        <v>3</v>
      </c>
      <c r="D63" t="s">
        <v>91</v>
      </c>
      <c r="E63" t="s">
        <v>95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52</v>
      </c>
      <c r="V63" t="s">
        <v>40</v>
      </c>
      <c r="W63" t="s">
        <v>41</v>
      </c>
      <c r="X63" t="s">
        <v>43</v>
      </c>
      <c r="Y63" t="s">
        <v>44</v>
      </c>
      <c r="Z63">
        <v>523.418731364515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13.129486355428321</v>
      </c>
    </row>
    <row r="64" spans="1:36" x14ac:dyDescent="0.25">
      <c r="A64" t="s">
        <v>72</v>
      </c>
      <c r="B64">
        <v>2025</v>
      </c>
      <c r="C64">
        <v>3</v>
      </c>
      <c r="D64" t="s">
        <v>91</v>
      </c>
      <c r="E64" t="s">
        <v>95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52</v>
      </c>
      <c r="V64" t="s">
        <v>40</v>
      </c>
      <c r="W64" t="s">
        <v>41</v>
      </c>
      <c r="X64" t="s">
        <v>43</v>
      </c>
      <c r="Y64" t="s">
        <v>44</v>
      </c>
      <c r="Z64">
        <v>523.418731364515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18.967528467041134</v>
      </c>
    </row>
    <row r="65" spans="1:36" x14ac:dyDescent="0.25">
      <c r="A65" t="s">
        <v>72</v>
      </c>
      <c r="B65">
        <v>2025</v>
      </c>
      <c r="C65">
        <v>3</v>
      </c>
      <c r="D65" t="s">
        <v>91</v>
      </c>
      <c r="E65" t="s">
        <v>95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52</v>
      </c>
      <c r="V65" t="s">
        <v>40</v>
      </c>
      <c r="W65" t="s">
        <v>41</v>
      </c>
      <c r="X65" t="s">
        <v>43</v>
      </c>
      <c r="Y65" t="s">
        <v>44</v>
      </c>
      <c r="Z65">
        <v>523.418731364515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25">
      <c r="A66" t="s">
        <v>72</v>
      </c>
      <c r="B66">
        <v>2025</v>
      </c>
      <c r="C66">
        <v>3</v>
      </c>
      <c r="D66" t="s">
        <v>91</v>
      </c>
      <c r="E66" t="s">
        <v>95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52</v>
      </c>
      <c r="V66" t="s">
        <v>40</v>
      </c>
      <c r="W66" t="s">
        <v>41</v>
      </c>
      <c r="X66" t="s">
        <v>43</v>
      </c>
      <c r="Y66" t="s">
        <v>44</v>
      </c>
      <c r="Z66">
        <v>523.418731364515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25">
      <c r="A67" t="s">
        <v>72</v>
      </c>
      <c r="B67">
        <v>2025</v>
      </c>
      <c r="C67">
        <v>3</v>
      </c>
      <c r="D67" t="s">
        <v>91</v>
      </c>
      <c r="E67" t="s">
        <v>95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52</v>
      </c>
      <c r="V67" t="s">
        <v>40</v>
      </c>
      <c r="W67" t="s">
        <v>41</v>
      </c>
      <c r="X67" t="s">
        <v>43</v>
      </c>
      <c r="Y67" t="s">
        <v>44</v>
      </c>
      <c r="Z67">
        <v>523.418731364515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25">
      <c r="A68" t="s">
        <v>72</v>
      </c>
      <c r="B68">
        <v>2025</v>
      </c>
      <c r="C68">
        <v>3</v>
      </c>
      <c r="D68" t="s">
        <v>91</v>
      </c>
      <c r="E68" t="s">
        <v>95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52</v>
      </c>
      <c r="V68" t="s">
        <v>40</v>
      </c>
      <c r="W68" t="s">
        <v>41</v>
      </c>
      <c r="X68" t="s">
        <v>43</v>
      </c>
      <c r="Y68" t="s">
        <v>44</v>
      </c>
      <c r="Z68">
        <v>523.418731364515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25">
      <c r="A69" t="s">
        <v>72</v>
      </c>
      <c r="B69">
        <v>2025</v>
      </c>
      <c r="C69">
        <v>3</v>
      </c>
      <c r="D69" t="s">
        <v>91</v>
      </c>
      <c r="E69" t="s">
        <v>95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52</v>
      </c>
      <c r="V69" t="s">
        <v>40</v>
      </c>
      <c r="W69" t="s">
        <v>41</v>
      </c>
      <c r="X69" t="s">
        <v>43</v>
      </c>
      <c r="Y69" t="s">
        <v>44</v>
      </c>
      <c r="Z69">
        <v>523.418731364515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25">
      <c r="A70" t="s">
        <v>72</v>
      </c>
      <c r="B70">
        <v>2025</v>
      </c>
      <c r="C70">
        <v>3</v>
      </c>
      <c r="D70" t="s">
        <v>91</v>
      </c>
      <c r="E70" t="s">
        <v>95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52</v>
      </c>
      <c r="V70" t="s">
        <v>40</v>
      </c>
      <c r="W70" t="s">
        <v>41</v>
      </c>
      <c r="X70" t="s">
        <v>43</v>
      </c>
      <c r="Y70" t="s">
        <v>44</v>
      </c>
      <c r="Z70">
        <v>523.418731364515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25">
      <c r="A71" t="s">
        <v>72</v>
      </c>
      <c r="B71">
        <v>2025</v>
      </c>
      <c r="C71">
        <v>3</v>
      </c>
      <c r="D71" t="s">
        <v>91</v>
      </c>
      <c r="E71" t="s">
        <v>95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52</v>
      </c>
      <c r="V71" t="s">
        <v>40</v>
      </c>
      <c r="W71" t="s">
        <v>41</v>
      </c>
      <c r="X71" t="s">
        <v>43</v>
      </c>
      <c r="Y71" t="s">
        <v>44</v>
      </c>
      <c r="Z71">
        <v>523.418731364515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25">
      <c r="A72" t="s">
        <v>72</v>
      </c>
      <c r="B72">
        <v>2025</v>
      </c>
      <c r="C72">
        <v>3</v>
      </c>
      <c r="D72" t="s">
        <v>91</v>
      </c>
      <c r="E72" t="s">
        <v>95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1</v>
      </c>
      <c r="S72" t="s">
        <v>38</v>
      </c>
      <c r="T72" t="s">
        <v>39</v>
      </c>
      <c r="V72" t="s">
        <v>40</v>
      </c>
      <c r="W72" t="s">
        <v>41</v>
      </c>
      <c r="X72" t="s">
        <v>43</v>
      </c>
      <c r="Y72" t="s">
        <v>44</v>
      </c>
      <c r="Z72">
        <v>5998.7539999999999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18.861200076294068</v>
      </c>
    </row>
    <row r="73" spans="1:36" x14ac:dyDescent="0.25">
      <c r="A73" t="s">
        <v>72</v>
      </c>
      <c r="B73">
        <v>2025</v>
      </c>
      <c r="C73">
        <v>3</v>
      </c>
      <c r="D73" t="s">
        <v>91</v>
      </c>
      <c r="E73" t="s">
        <v>95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1</v>
      </c>
      <c r="S73" t="s">
        <v>38</v>
      </c>
      <c r="T73" t="s">
        <v>39</v>
      </c>
      <c r="V73" t="s">
        <v>40</v>
      </c>
      <c r="W73" t="s">
        <v>41</v>
      </c>
      <c r="X73" t="s">
        <v>43</v>
      </c>
      <c r="Y73" t="s">
        <v>44</v>
      </c>
      <c r="Z73">
        <v>5998.7539999999999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27.562623774364166</v>
      </c>
    </row>
    <row r="74" spans="1:36" x14ac:dyDescent="0.25">
      <c r="A74" t="s">
        <v>72</v>
      </c>
      <c r="B74">
        <v>2025</v>
      </c>
      <c r="C74">
        <v>3</v>
      </c>
      <c r="D74" t="s">
        <v>91</v>
      </c>
      <c r="E74" t="s">
        <v>95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1</v>
      </c>
      <c r="S74" t="s">
        <v>38</v>
      </c>
      <c r="T74" t="s">
        <v>39</v>
      </c>
      <c r="V74" t="s">
        <v>40</v>
      </c>
      <c r="W74" t="s">
        <v>41</v>
      </c>
      <c r="X74" t="s">
        <v>43</v>
      </c>
      <c r="Y74" t="s">
        <v>44</v>
      </c>
      <c r="Z74">
        <v>5998.7539999999999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8.834086634949454</v>
      </c>
    </row>
    <row r="75" spans="1:36" x14ac:dyDescent="0.25">
      <c r="A75" t="s">
        <v>72</v>
      </c>
      <c r="B75">
        <v>2025</v>
      </c>
      <c r="C75">
        <v>3</v>
      </c>
      <c r="D75" t="s">
        <v>91</v>
      </c>
      <c r="E75" t="s">
        <v>95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1</v>
      </c>
      <c r="S75" t="s">
        <v>38</v>
      </c>
      <c r="T75" t="s">
        <v>39</v>
      </c>
      <c r="V75" t="s">
        <v>40</v>
      </c>
      <c r="W75" t="s">
        <v>41</v>
      </c>
      <c r="X75" t="s">
        <v>43</v>
      </c>
      <c r="Y75" t="s">
        <v>44</v>
      </c>
      <c r="Z75">
        <v>5998.7539999999999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102.47176538996565</v>
      </c>
    </row>
    <row r="76" spans="1:36" x14ac:dyDescent="0.25">
      <c r="A76" t="s">
        <v>72</v>
      </c>
      <c r="B76">
        <v>2025</v>
      </c>
      <c r="C76">
        <v>3</v>
      </c>
      <c r="D76" t="s">
        <v>91</v>
      </c>
      <c r="E76" t="s">
        <v>95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1</v>
      </c>
      <c r="S76" t="s">
        <v>38</v>
      </c>
      <c r="T76" t="s">
        <v>39</v>
      </c>
      <c r="V76" t="s">
        <v>40</v>
      </c>
      <c r="W76" t="s">
        <v>41</v>
      </c>
      <c r="X76" t="s">
        <v>43</v>
      </c>
      <c r="Y76" t="s">
        <v>44</v>
      </c>
      <c r="Z76">
        <v>5998.7539999999999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151.74380897609916</v>
      </c>
    </row>
    <row r="77" spans="1:36" x14ac:dyDescent="0.25">
      <c r="A77" t="s">
        <v>72</v>
      </c>
      <c r="B77">
        <v>2025</v>
      </c>
      <c r="C77">
        <v>3</v>
      </c>
      <c r="D77" t="s">
        <v>91</v>
      </c>
      <c r="E77" t="s">
        <v>95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1</v>
      </c>
      <c r="S77" t="s">
        <v>38</v>
      </c>
      <c r="T77" t="s">
        <v>39</v>
      </c>
      <c r="V77" t="s">
        <v>40</v>
      </c>
      <c r="W77" t="s">
        <v>41</v>
      </c>
      <c r="X77" t="s">
        <v>43</v>
      </c>
      <c r="Y77" t="s">
        <v>44</v>
      </c>
      <c r="Z77">
        <v>5998.7539999999999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150.47332866221268</v>
      </c>
    </row>
    <row r="78" spans="1:36" x14ac:dyDescent="0.25">
      <c r="A78" t="s">
        <v>72</v>
      </c>
      <c r="B78">
        <v>2025</v>
      </c>
      <c r="C78">
        <v>3</v>
      </c>
      <c r="D78" t="s">
        <v>91</v>
      </c>
      <c r="E78" t="s">
        <v>95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1</v>
      </c>
      <c r="S78" t="s">
        <v>38</v>
      </c>
      <c r="T78" t="s">
        <v>39</v>
      </c>
      <c r="V78" t="s">
        <v>40</v>
      </c>
      <c r="W78" t="s">
        <v>41</v>
      </c>
      <c r="X78" t="s">
        <v>43</v>
      </c>
      <c r="Y78" t="s">
        <v>44</v>
      </c>
      <c r="Z78">
        <v>5998.7539999999999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217.38147766541829</v>
      </c>
    </row>
    <row r="79" spans="1:36" x14ac:dyDescent="0.25">
      <c r="A79" t="s">
        <v>72</v>
      </c>
      <c r="B79">
        <v>2025</v>
      </c>
      <c r="C79">
        <v>3</v>
      </c>
      <c r="D79" t="s">
        <v>91</v>
      </c>
      <c r="E79" t="s">
        <v>95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1</v>
      </c>
      <c r="S79" t="s">
        <v>38</v>
      </c>
      <c r="T79" t="s">
        <v>39</v>
      </c>
      <c r="V79" t="s">
        <v>40</v>
      </c>
      <c r="W79" t="s">
        <v>41</v>
      </c>
      <c r="X79" t="s">
        <v>43</v>
      </c>
      <c r="Y79" t="s">
        <v>44</v>
      </c>
      <c r="Z79">
        <v>5998.7539999999999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25">
      <c r="A80" t="s">
        <v>72</v>
      </c>
      <c r="B80">
        <v>2025</v>
      </c>
      <c r="C80">
        <v>3</v>
      </c>
      <c r="D80" t="s">
        <v>91</v>
      </c>
      <c r="E80" t="s">
        <v>95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1</v>
      </c>
      <c r="S80" t="s">
        <v>38</v>
      </c>
      <c r="T80" t="s">
        <v>39</v>
      </c>
      <c r="V80" t="s">
        <v>40</v>
      </c>
      <c r="W80" t="s">
        <v>41</v>
      </c>
      <c r="X80" t="s">
        <v>43</v>
      </c>
      <c r="Y80" t="s">
        <v>44</v>
      </c>
      <c r="Z80">
        <v>5998.7539999999999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25">
      <c r="A81" t="s">
        <v>72</v>
      </c>
      <c r="B81">
        <v>2025</v>
      </c>
      <c r="C81">
        <v>3</v>
      </c>
      <c r="D81" t="s">
        <v>91</v>
      </c>
      <c r="E81" t="s">
        <v>95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1</v>
      </c>
      <c r="S81" t="s">
        <v>38</v>
      </c>
      <c r="T81" t="s">
        <v>39</v>
      </c>
      <c r="V81" t="s">
        <v>40</v>
      </c>
      <c r="W81" t="s">
        <v>41</v>
      </c>
      <c r="X81" t="s">
        <v>43</v>
      </c>
      <c r="Y81" t="s">
        <v>44</v>
      </c>
      <c r="Z81">
        <v>5998.7539999999999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25">
      <c r="A82" t="s">
        <v>72</v>
      </c>
      <c r="B82">
        <v>2025</v>
      </c>
      <c r="C82">
        <v>3</v>
      </c>
      <c r="D82" t="s">
        <v>91</v>
      </c>
      <c r="E82" t="s">
        <v>95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1</v>
      </c>
      <c r="S82" t="s">
        <v>38</v>
      </c>
      <c r="T82" t="s">
        <v>39</v>
      </c>
      <c r="V82" t="s">
        <v>40</v>
      </c>
      <c r="W82" t="s">
        <v>41</v>
      </c>
      <c r="X82" t="s">
        <v>43</v>
      </c>
      <c r="Y82" t="s">
        <v>44</v>
      </c>
      <c r="Z82">
        <v>5998.7539999999999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25">
      <c r="A83" t="s">
        <v>72</v>
      </c>
      <c r="B83">
        <v>2025</v>
      </c>
      <c r="C83">
        <v>3</v>
      </c>
      <c r="D83" t="s">
        <v>91</v>
      </c>
      <c r="E83" t="s">
        <v>95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1</v>
      </c>
      <c r="S83" t="s">
        <v>38</v>
      </c>
      <c r="T83" t="s">
        <v>39</v>
      </c>
      <c r="V83" t="s">
        <v>40</v>
      </c>
      <c r="W83" t="s">
        <v>41</v>
      </c>
      <c r="X83" t="s">
        <v>43</v>
      </c>
      <c r="Y83" t="s">
        <v>44</v>
      </c>
      <c r="Z83">
        <v>5998.7539999999999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25">
      <c r="A84" t="s">
        <v>72</v>
      </c>
      <c r="B84">
        <v>2025</v>
      </c>
      <c r="C84">
        <v>3</v>
      </c>
      <c r="D84" t="s">
        <v>91</v>
      </c>
      <c r="E84" t="s">
        <v>95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1</v>
      </c>
      <c r="S84" t="s">
        <v>38</v>
      </c>
      <c r="T84" t="s">
        <v>39</v>
      </c>
      <c r="V84" t="s">
        <v>40</v>
      </c>
      <c r="W84" t="s">
        <v>41</v>
      </c>
      <c r="X84" t="s">
        <v>43</v>
      </c>
      <c r="Y84" t="s">
        <v>44</v>
      </c>
      <c r="Z84">
        <v>5998.7539999999999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25">
      <c r="A85" t="s">
        <v>72</v>
      </c>
      <c r="B85">
        <v>2025</v>
      </c>
      <c r="C85">
        <v>3</v>
      </c>
      <c r="D85" t="s">
        <v>91</v>
      </c>
      <c r="E85" t="s">
        <v>95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1</v>
      </c>
      <c r="S85" t="s">
        <v>38</v>
      </c>
      <c r="T85" t="s">
        <v>39</v>
      </c>
      <c r="V85" t="s">
        <v>40</v>
      </c>
      <c r="W85" t="s">
        <v>41</v>
      </c>
      <c r="X85" t="s">
        <v>43</v>
      </c>
      <c r="Y85" t="s">
        <v>44</v>
      </c>
      <c r="Z85">
        <v>5998.7539999999999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25">
      <c r="A86" t="s">
        <v>72</v>
      </c>
      <c r="B86">
        <v>2025</v>
      </c>
      <c r="C86">
        <v>3</v>
      </c>
      <c r="D86" t="s">
        <v>91</v>
      </c>
      <c r="E86" t="s">
        <v>95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52</v>
      </c>
      <c r="V86" t="s">
        <v>40</v>
      </c>
      <c r="W86" t="s">
        <v>41</v>
      </c>
      <c r="X86" t="s">
        <v>43</v>
      </c>
      <c r="Y86" t="s">
        <v>44</v>
      </c>
      <c r="Z86">
        <v>206.82454807327201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0.65029490822578895</v>
      </c>
    </row>
    <row r="87" spans="1:36" x14ac:dyDescent="0.25">
      <c r="A87" t="s">
        <v>72</v>
      </c>
      <c r="B87">
        <v>2025</v>
      </c>
      <c r="C87">
        <v>3</v>
      </c>
      <c r="D87" t="s">
        <v>91</v>
      </c>
      <c r="E87" t="s">
        <v>95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52</v>
      </c>
      <c r="V87" t="s">
        <v>40</v>
      </c>
      <c r="W87" t="s">
        <v>41</v>
      </c>
      <c r="X87" t="s">
        <v>43</v>
      </c>
      <c r="Y87" t="s">
        <v>44</v>
      </c>
      <c r="Z87">
        <v>206.82454807327201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0.95030188033156404</v>
      </c>
    </row>
    <row r="88" spans="1:36" x14ac:dyDescent="0.25">
      <c r="A88" t="s">
        <v>72</v>
      </c>
      <c r="B88">
        <v>2025</v>
      </c>
      <c r="C88">
        <v>3</v>
      </c>
      <c r="D88" t="s">
        <v>91</v>
      </c>
      <c r="E88" t="s">
        <v>95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52</v>
      </c>
      <c r="V88" t="s">
        <v>40</v>
      </c>
      <c r="W88" t="s">
        <v>41</v>
      </c>
      <c r="X88" t="s">
        <v>43</v>
      </c>
      <c r="Y88" t="s">
        <v>44</v>
      </c>
      <c r="Z88">
        <v>206.82454807327201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0.30458091395539022</v>
      </c>
    </row>
    <row r="89" spans="1:36" x14ac:dyDescent="0.25">
      <c r="A89" t="s">
        <v>72</v>
      </c>
      <c r="B89">
        <v>2025</v>
      </c>
      <c r="C89">
        <v>3</v>
      </c>
      <c r="D89" t="s">
        <v>91</v>
      </c>
      <c r="E89" t="s">
        <v>95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52</v>
      </c>
      <c r="V89" t="s">
        <v>40</v>
      </c>
      <c r="W89" t="s">
        <v>41</v>
      </c>
      <c r="X89" t="s">
        <v>43</v>
      </c>
      <c r="Y89" t="s">
        <v>44</v>
      </c>
      <c r="Z89">
        <v>206.82454807327201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3.5330131168989434</v>
      </c>
    </row>
    <row r="90" spans="1:36" x14ac:dyDescent="0.25">
      <c r="A90" t="s">
        <v>72</v>
      </c>
      <c r="B90">
        <v>2025</v>
      </c>
      <c r="C90">
        <v>3</v>
      </c>
      <c r="D90" t="s">
        <v>91</v>
      </c>
      <c r="E90" t="s">
        <v>95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52</v>
      </c>
      <c r="V90" t="s">
        <v>40</v>
      </c>
      <c r="W90" t="s">
        <v>41</v>
      </c>
      <c r="X90" t="s">
        <v>43</v>
      </c>
      <c r="Y90" t="s">
        <v>44</v>
      </c>
      <c r="Z90">
        <v>206.82454807327201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5.2318105917326534</v>
      </c>
    </row>
    <row r="91" spans="1:36" x14ac:dyDescent="0.25">
      <c r="A91" t="s">
        <v>72</v>
      </c>
      <c r="B91">
        <v>2025</v>
      </c>
      <c r="C91">
        <v>3</v>
      </c>
      <c r="D91" t="s">
        <v>91</v>
      </c>
      <c r="E91" t="s">
        <v>95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52</v>
      </c>
      <c r="V91" t="s">
        <v>40</v>
      </c>
      <c r="W91" t="s">
        <v>41</v>
      </c>
      <c r="X91" t="s">
        <v>43</v>
      </c>
      <c r="Y91" t="s">
        <v>44</v>
      </c>
      <c r="Z91">
        <v>206.82454807327201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5.1880070757432399</v>
      </c>
    </row>
    <row r="92" spans="1:36" x14ac:dyDescent="0.25">
      <c r="A92" t="s">
        <v>72</v>
      </c>
      <c r="B92">
        <v>2025</v>
      </c>
      <c r="C92">
        <v>3</v>
      </c>
      <c r="D92" t="s">
        <v>91</v>
      </c>
      <c r="E92" t="s">
        <v>95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52</v>
      </c>
      <c r="V92" t="s">
        <v>40</v>
      </c>
      <c r="W92" t="s">
        <v>41</v>
      </c>
      <c r="X92" t="s">
        <v>43</v>
      </c>
      <c r="Y92" t="s">
        <v>44</v>
      </c>
      <c r="Z92">
        <v>206.82454807327201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7.4948607456898895</v>
      </c>
    </row>
    <row r="93" spans="1:36" x14ac:dyDescent="0.25">
      <c r="A93" t="s">
        <v>72</v>
      </c>
      <c r="B93">
        <v>2025</v>
      </c>
      <c r="C93">
        <v>3</v>
      </c>
      <c r="D93" t="s">
        <v>91</v>
      </c>
      <c r="E93" t="s">
        <v>95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52</v>
      </c>
      <c r="V93" t="s">
        <v>40</v>
      </c>
      <c r="W93" t="s">
        <v>41</v>
      </c>
      <c r="X93" t="s">
        <v>43</v>
      </c>
      <c r="Y93" t="s">
        <v>44</v>
      </c>
      <c r="Z93">
        <v>206.82454807327201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25">
      <c r="A94" t="s">
        <v>72</v>
      </c>
      <c r="B94">
        <v>2025</v>
      </c>
      <c r="C94">
        <v>3</v>
      </c>
      <c r="D94" t="s">
        <v>91</v>
      </c>
      <c r="E94" t="s">
        <v>95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52</v>
      </c>
      <c r="V94" t="s">
        <v>40</v>
      </c>
      <c r="W94" t="s">
        <v>41</v>
      </c>
      <c r="X94" t="s">
        <v>43</v>
      </c>
      <c r="Y94" t="s">
        <v>44</v>
      </c>
      <c r="Z94">
        <v>206.82454807327201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25">
      <c r="A95" t="s">
        <v>72</v>
      </c>
      <c r="B95">
        <v>2025</v>
      </c>
      <c r="C95">
        <v>3</v>
      </c>
      <c r="D95" t="s">
        <v>91</v>
      </c>
      <c r="E95" t="s">
        <v>95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52</v>
      </c>
      <c r="V95" t="s">
        <v>40</v>
      </c>
      <c r="W95" t="s">
        <v>41</v>
      </c>
      <c r="X95" t="s">
        <v>43</v>
      </c>
      <c r="Y95" t="s">
        <v>44</v>
      </c>
      <c r="Z95">
        <v>206.82454807327201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25">
      <c r="A96" t="s">
        <v>72</v>
      </c>
      <c r="B96">
        <v>2025</v>
      </c>
      <c r="C96">
        <v>3</v>
      </c>
      <c r="D96" t="s">
        <v>91</v>
      </c>
      <c r="E96" t="s">
        <v>95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52</v>
      </c>
      <c r="V96" t="s">
        <v>40</v>
      </c>
      <c r="W96" t="s">
        <v>41</v>
      </c>
      <c r="X96" t="s">
        <v>43</v>
      </c>
      <c r="Y96" t="s">
        <v>44</v>
      </c>
      <c r="Z96">
        <v>206.82454807327201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25">
      <c r="A97" t="s">
        <v>72</v>
      </c>
      <c r="B97">
        <v>2025</v>
      </c>
      <c r="C97">
        <v>3</v>
      </c>
      <c r="D97" t="s">
        <v>91</v>
      </c>
      <c r="E97" t="s">
        <v>95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52</v>
      </c>
      <c r="V97" t="s">
        <v>40</v>
      </c>
      <c r="W97" t="s">
        <v>41</v>
      </c>
      <c r="X97" t="s">
        <v>43</v>
      </c>
      <c r="Y97" t="s">
        <v>44</v>
      </c>
      <c r="Z97">
        <v>206.82454807327201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25">
      <c r="A98" t="s">
        <v>72</v>
      </c>
      <c r="B98">
        <v>2025</v>
      </c>
      <c r="C98">
        <v>3</v>
      </c>
      <c r="D98" t="s">
        <v>91</v>
      </c>
      <c r="E98" t="s">
        <v>95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52</v>
      </c>
      <c r="V98" t="s">
        <v>40</v>
      </c>
      <c r="W98" t="s">
        <v>41</v>
      </c>
      <c r="X98" t="s">
        <v>43</v>
      </c>
      <c r="Y98" t="s">
        <v>44</v>
      </c>
      <c r="Z98">
        <v>206.82454807327201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25">
      <c r="A99" t="s">
        <v>72</v>
      </c>
      <c r="B99">
        <v>2025</v>
      </c>
      <c r="C99">
        <v>3</v>
      </c>
      <c r="D99" t="s">
        <v>91</v>
      </c>
      <c r="E99" t="s">
        <v>95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52</v>
      </c>
      <c r="V99" t="s">
        <v>40</v>
      </c>
      <c r="W99" t="s">
        <v>41</v>
      </c>
      <c r="X99" t="s">
        <v>43</v>
      </c>
      <c r="Y99" t="s">
        <v>44</v>
      </c>
      <c r="Z99">
        <v>206.82454807327201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25">
      <c r="A100" t="s">
        <v>72</v>
      </c>
      <c r="B100">
        <v>2025</v>
      </c>
      <c r="C100">
        <v>3</v>
      </c>
      <c r="D100" t="s">
        <v>91</v>
      </c>
      <c r="E100" t="s">
        <v>95</v>
      </c>
      <c r="F100" t="s">
        <v>50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36</v>
      </c>
      <c r="Q100" t="s">
        <v>37</v>
      </c>
      <c r="R100">
        <v>2</v>
      </c>
      <c r="S100" t="s">
        <v>38</v>
      </c>
      <c r="T100" t="s">
        <v>39</v>
      </c>
      <c r="V100" t="s">
        <v>40</v>
      </c>
      <c r="W100" t="s">
        <v>41</v>
      </c>
      <c r="X100" t="s">
        <v>43</v>
      </c>
      <c r="Y100" t="s">
        <v>44</v>
      </c>
      <c r="Z100">
        <v>1819.45994532345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5.7207210129884736</v>
      </c>
    </row>
    <row r="101" spans="1:36" x14ac:dyDescent="0.25">
      <c r="A101" t="s">
        <v>72</v>
      </c>
      <c r="B101">
        <v>2025</v>
      </c>
      <c r="C101">
        <v>3</v>
      </c>
      <c r="D101" t="s">
        <v>91</v>
      </c>
      <c r="E101" t="s">
        <v>95</v>
      </c>
      <c r="F101" t="s">
        <v>50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36</v>
      </c>
      <c r="Q101" t="s">
        <v>37</v>
      </c>
      <c r="R101">
        <v>2</v>
      </c>
      <c r="S101" t="s">
        <v>38</v>
      </c>
      <c r="T101" t="s">
        <v>39</v>
      </c>
      <c r="V101" t="s">
        <v>40</v>
      </c>
      <c r="W101" t="s">
        <v>41</v>
      </c>
      <c r="X101" t="s">
        <v>43</v>
      </c>
      <c r="Y101" t="s">
        <v>44</v>
      </c>
      <c r="Z101">
        <v>1819.45994532345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8.3599177338286328</v>
      </c>
    </row>
    <row r="102" spans="1:36" x14ac:dyDescent="0.25">
      <c r="A102" t="s">
        <v>72</v>
      </c>
      <c r="B102">
        <v>2025</v>
      </c>
      <c r="C102">
        <v>3</v>
      </c>
      <c r="D102" t="s">
        <v>91</v>
      </c>
      <c r="E102" t="s">
        <v>95</v>
      </c>
      <c r="F102" t="s">
        <v>50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36</v>
      </c>
      <c r="Q102" t="s">
        <v>37</v>
      </c>
      <c r="R102">
        <v>2</v>
      </c>
      <c r="S102" t="s">
        <v>38</v>
      </c>
      <c r="T102" t="s">
        <v>39</v>
      </c>
      <c r="V102" t="s">
        <v>40</v>
      </c>
      <c r="W102" t="s">
        <v>41</v>
      </c>
      <c r="X102" t="s">
        <v>43</v>
      </c>
      <c r="Y102" t="s">
        <v>44</v>
      </c>
      <c r="Z102">
        <v>1819.45994532345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2.6794342268090596</v>
      </c>
    </row>
    <row r="103" spans="1:36" x14ac:dyDescent="0.25">
      <c r="A103" t="s">
        <v>72</v>
      </c>
      <c r="B103">
        <v>2025</v>
      </c>
      <c r="C103">
        <v>3</v>
      </c>
      <c r="D103" t="s">
        <v>91</v>
      </c>
      <c r="E103" t="s">
        <v>95</v>
      </c>
      <c r="F103" t="s">
        <v>50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36</v>
      </c>
      <c r="Q103" t="s">
        <v>37</v>
      </c>
      <c r="R103">
        <v>2</v>
      </c>
      <c r="S103" t="s">
        <v>38</v>
      </c>
      <c r="T103" t="s">
        <v>39</v>
      </c>
      <c r="V103" t="s">
        <v>40</v>
      </c>
      <c r="W103" t="s">
        <v>41</v>
      </c>
      <c r="X103" t="s">
        <v>43</v>
      </c>
      <c r="Y103" t="s">
        <v>44</v>
      </c>
      <c r="Z103">
        <v>1819.45994532345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31.080333124782964</v>
      </c>
    </row>
    <row r="104" spans="1:36" x14ac:dyDescent="0.25">
      <c r="A104" t="s">
        <v>72</v>
      </c>
      <c r="B104">
        <v>2025</v>
      </c>
      <c r="C104">
        <v>3</v>
      </c>
      <c r="D104" t="s">
        <v>91</v>
      </c>
      <c r="E104" t="s">
        <v>95</v>
      </c>
      <c r="F104" t="s">
        <v>50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36</v>
      </c>
      <c r="Q104" t="s">
        <v>37</v>
      </c>
      <c r="R104">
        <v>2</v>
      </c>
      <c r="S104" t="s">
        <v>38</v>
      </c>
      <c r="T104" t="s">
        <v>39</v>
      </c>
      <c r="V104" t="s">
        <v>40</v>
      </c>
      <c r="W104" t="s">
        <v>41</v>
      </c>
      <c r="X104" t="s">
        <v>43</v>
      </c>
      <c r="Y104" t="s">
        <v>44</v>
      </c>
      <c r="Z104">
        <v>1819.45994532345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46.024854892003468</v>
      </c>
    </row>
    <row r="105" spans="1:36" x14ac:dyDescent="0.25">
      <c r="A105" t="s">
        <v>72</v>
      </c>
      <c r="B105">
        <v>2025</v>
      </c>
      <c r="C105">
        <v>3</v>
      </c>
      <c r="D105" t="s">
        <v>91</v>
      </c>
      <c r="E105" t="s">
        <v>95</v>
      </c>
      <c r="F105" t="s">
        <v>50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36</v>
      </c>
      <c r="Q105" t="s">
        <v>37</v>
      </c>
      <c r="R105">
        <v>2</v>
      </c>
      <c r="S105" t="s">
        <v>38</v>
      </c>
      <c r="T105" t="s">
        <v>39</v>
      </c>
      <c r="V105" t="s">
        <v>40</v>
      </c>
      <c r="W105" t="s">
        <v>41</v>
      </c>
      <c r="X105" t="s">
        <v>43</v>
      </c>
      <c r="Y105" t="s">
        <v>44</v>
      </c>
      <c r="Z105">
        <v>1819.45994532345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45.639510195014999</v>
      </c>
    </row>
    <row r="106" spans="1:36" x14ac:dyDescent="0.25">
      <c r="A106" t="s">
        <v>72</v>
      </c>
      <c r="B106">
        <v>2025</v>
      </c>
      <c r="C106">
        <v>3</v>
      </c>
      <c r="D106" t="s">
        <v>91</v>
      </c>
      <c r="E106" t="s">
        <v>95</v>
      </c>
      <c r="F106" t="s">
        <v>50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36</v>
      </c>
      <c r="Q106" t="s">
        <v>37</v>
      </c>
      <c r="R106">
        <v>2</v>
      </c>
      <c r="S106" t="s">
        <v>38</v>
      </c>
      <c r="T106" t="s">
        <v>39</v>
      </c>
      <c r="V106" t="s">
        <v>40</v>
      </c>
      <c r="W106" t="s">
        <v>41</v>
      </c>
      <c r="X106" t="s">
        <v>43</v>
      </c>
      <c r="Y106" t="s">
        <v>44</v>
      </c>
      <c r="Z106">
        <v>1819.45994532345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65.933174033716455</v>
      </c>
    </row>
    <row r="107" spans="1:36" x14ac:dyDescent="0.25">
      <c r="A107" t="s">
        <v>72</v>
      </c>
      <c r="B107">
        <v>2025</v>
      </c>
      <c r="C107">
        <v>3</v>
      </c>
      <c r="D107" t="s">
        <v>91</v>
      </c>
      <c r="E107" t="s">
        <v>95</v>
      </c>
      <c r="F107" t="s">
        <v>50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36</v>
      </c>
      <c r="Q107" t="s">
        <v>37</v>
      </c>
      <c r="R107">
        <v>2</v>
      </c>
      <c r="S107" t="s">
        <v>38</v>
      </c>
      <c r="T107" t="s">
        <v>39</v>
      </c>
      <c r="V107" t="s">
        <v>40</v>
      </c>
      <c r="W107" t="s">
        <v>41</v>
      </c>
      <c r="X107" t="s">
        <v>43</v>
      </c>
      <c r="Y107" t="s">
        <v>44</v>
      </c>
      <c r="Z107">
        <v>1819.45994532345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25">
      <c r="A108" t="s">
        <v>72</v>
      </c>
      <c r="B108">
        <v>2025</v>
      </c>
      <c r="C108">
        <v>3</v>
      </c>
      <c r="D108" t="s">
        <v>91</v>
      </c>
      <c r="E108" t="s">
        <v>95</v>
      </c>
      <c r="F108" t="s">
        <v>50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36</v>
      </c>
      <c r="Q108" t="s">
        <v>37</v>
      </c>
      <c r="R108">
        <v>2</v>
      </c>
      <c r="S108" t="s">
        <v>38</v>
      </c>
      <c r="T108" t="s">
        <v>39</v>
      </c>
      <c r="V108" t="s">
        <v>40</v>
      </c>
      <c r="W108" t="s">
        <v>41</v>
      </c>
      <c r="X108" t="s">
        <v>43</v>
      </c>
      <c r="Y108" t="s">
        <v>44</v>
      </c>
      <c r="Z108">
        <v>1819.45994532345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25">
      <c r="A109" t="s">
        <v>72</v>
      </c>
      <c r="B109">
        <v>2025</v>
      </c>
      <c r="C109">
        <v>3</v>
      </c>
      <c r="D109" t="s">
        <v>91</v>
      </c>
      <c r="E109" t="s">
        <v>95</v>
      </c>
      <c r="F109" t="s">
        <v>50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36</v>
      </c>
      <c r="Q109" t="s">
        <v>37</v>
      </c>
      <c r="R109">
        <v>2</v>
      </c>
      <c r="S109" t="s">
        <v>38</v>
      </c>
      <c r="T109" t="s">
        <v>39</v>
      </c>
      <c r="V109" t="s">
        <v>40</v>
      </c>
      <c r="W109" t="s">
        <v>41</v>
      </c>
      <c r="X109" t="s">
        <v>43</v>
      </c>
      <c r="Y109" t="s">
        <v>44</v>
      </c>
      <c r="Z109">
        <v>1819.45994532345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25">
      <c r="A110" t="s">
        <v>72</v>
      </c>
      <c r="B110">
        <v>2025</v>
      </c>
      <c r="C110">
        <v>3</v>
      </c>
      <c r="D110" t="s">
        <v>91</v>
      </c>
      <c r="E110" t="s">
        <v>95</v>
      </c>
      <c r="F110" t="s">
        <v>50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36</v>
      </c>
      <c r="Q110" t="s">
        <v>37</v>
      </c>
      <c r="R110">
        <v>2</v>
      </c>
      <c r="S110" t="s">
        <v>38</v>
      </c>
      <c r="T110" t="s">
        <v>39</v>
      </c>
      <c r="V110" t="s">
        <v>40</v>
      </c>
      <c r="W110" t="s">
        <v>41</v>
      </c>
      <c r="X110" t="s">
        <v>43</v>
      </c>
      <c r="Y110" t="s">
        <v>44</v>
      </c>
      <c r="Z110">
        <v>1819.45994532345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25">
      <c r="A111" t="s">
        <v>72</v>
      </c>
      <c r="B111">
        <v>2025</v>
      </c>
      <c r="C111">
        <v>3</v>
      </c>
      <c r="D111" t="s">
        <v>91</v>
      </c>
      <c r="E111" t="s">
        <v>95</v>
      </c>
      <c r="F111" t="s">
        <v>50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36</v>
      </c>
      <c r="Q111" t="s">
        <v>37</v>
      </c>
      <c r="R111">
        <v>2</v>
      </c>
      <c r="S111" t="s">
        <v>38</v>
      </c>
      <c r="T111" t="s">
        <v>39</v>
      </c>
      <c r="V111" t="s">
        <v>40</v>
      </c>
      <c r="W111" t="s">
        <v>41</v>
      </c>
      <c r="X111" t="s">
        <v>43</v>
      </c>
      <c r="Y111" t="s">
        <v>44</v>
      </c>
      <c r="Z111">
        <v>1819.45994532345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25">
      <c r="A112" t="s">
        <v>72</v>
      </c>
      <c r="B112">
        <v>2025</v>
      </c>
      <c r="C112">
        <v>3</v>
      </c>
      <c r="D112" t="s">
        <v>91</v>
      </c>
      <c r="E112" t="s">
        <v>95</v>
      </c>
      <c r="F112" t="s">
        <v>50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36</v>
      </c>
      <c r="Q112" t="s">
        <v>37</v>
      </c>
      <c r="R112">
        <v>2</v>
      </c>
      <c r="S112" t="s">
        <v>38</v>
      </c>
      <c r="T112" t="s">
        <v>39</v>
      </c>
      <c r="V112" t="s">
        <v>40</v>
      </c>
      <c r="W112" t="s">
        <v>41</v>
      </c>
      <c r="X112" t="s">
        <v>43</v>
      </c>
      <c r="Y112" t="s">
        <v>44</v>
      </c>
      <c r="Z112">
        <v>1819.45994532345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25">
      <c r="A113" t="s">
        <v>72</v>
      </c>
      <c r="B113">
        <v>2025</v>
      </c>
      <c r="C113">
        <v>3</v>
      </c>
      <c r="D113" t="s">
        <v>91</v>
      </c>
      <c r="E113" t="s">
        <v>95</v>
      </c>
      <c r="F113" t="s">
        <v>50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36</v>
      </c>
      <c r="Q113" t="s">
        <v>37</v>
      </c>
      <c r="R113">
        <v>2</v>
      </c>
      <c r="S113" t="s">
        <v>38</v>
      </c>
      <c r="T113" t="s">
        <v>39</v>
      </c>
      <c r="V113" t="s">
        <v>40</v>
      </c>
      <c r="W113" t="s">
        <v>41</v>
      </c>
      <c r="X113" t="s">
        <v>43</v>
      </c>
      <c r="Y113" t="s">
        <v>44</v>
      </c>
      <c r="Z113">
        <v>1819.45994532345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25">
      <c r="A114" t="s">
        <v>72</v>
      </c>
      <c r="B114">
        <v>2025</v>
      </c>
      <c r="C114">
        <v>3</v>
      </c>
      <c r="D114" t="s">
        <v>91</v>
      </c>
      <c r="E114" t="s">
        <v>95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52</v>
      </c>
      <c r="V114" t="s">
        <v>40</v>
      </c>
      <c r="W114" t="s">
        <v>41</v>
      </c>
      <c r="X114" t="s">
        <v>43</v>
      </c>
      <c r="Y114" t="s">
        <v>44</v>
      </c>
      <c r="Z114">
        <v>10888.5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34.235472404890743</v>
      </c>
    </row>
    <row r="115" spans="1:36" x14ac:dyDescent="0.25">
      <c r="A115" t="s">
        <v>72</v>
      </c>
      <c r="B115">
        <v>2025</v>
      </c>
      <c r="C115">
        <v>3</v>
      </c>
      <c r="D115" t="s">
        <v>91</v>
      </c>
      <c r="E115" t="s">
        <v>95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52</v>
      </c>
      <c r="V115" t="s">
        <v>40</v>
      </c>
      <c r="W115" t="s">
        <v>41</v>
      </c>
      <c r="X115" t="s">
        <v>43</v>
      </c>
      <c r="Y115" t="s">
        <v>44</v>
      </c>
      <c r="Z115">
        <v>10888.5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50.029660987459096</v>
      </c>
    </row>
    <row r="116" spans="1:36" x14ac:dyDescent="0.25">
      <c r="A116" t="s">
        <v>72</v>
      </c>
      <c r="B116">
        <v>2025</v>
      </c>
      <c r="C116">
        <v>3</v>
      </c>
      <c r="D116" t="s">
        <v>91</v>
      </c>
      <c r="E116" t="s">
        <v>95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52</v>
      </c>
      <c r="V116" t="s">
        <v>40</v>
      </c>
      <c r="W116" t="s">
        <v>41</v>
      </c>
      <c r="X116" t="s">
        <v>43</v>
      </c>
      <c r="Y116" t="s">
        <v>44</v>
      </c>
      <c r="Z116">
        <v>10888.5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16.034988653418214</v>
      </c>
    </row>
    <row r="117" spans="1:36" x14ac:dyDescent="0.25">
      <c r="A117" t="s">
        <v>72</v>
      </c>
      <c r="B117">
        <v>2025</v>
      </c>
      <c r="C117">
        <v>3</v>
      </c>
      <c r="D117" t="s">
        <v>91</v>
      </c>
      <c r="E117" t="s">
        <v>95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52</v>
      </c>
      <c r="V117" t="s">
        <v>40</v>
      </c>
      <c r="W117" t="s">
        <v>41</v>
      </c>
      <c r="X117" t="s">
        <v>43</v>
      </c>
      <c r="Y117" t="s">
        <v>44</v>
      </c>
      <c r="Z117">
        <v>10888.5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185.99926208820051</v>
      </c>
    </row>
    <row r="118" spans="1:36" x14ac:dyDescent="0.25">
      <c r="A118" t="s">
        <v>72</v>
      </c>
      <c r="B118">
        <v>2025</v>
      </c>
      <c r="C118">
        <v>3</v>
      </c>
      <c r="D118" t="s">
        <v>91</v>
      </c>
      <c r="E118" t="s">
        <v>95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52</v>
      </c>
      <c r="V118" t="s">
        <v>40</v>
      </c>
      <c r="W118" t="s">
        <v>41</v>
      </c>
      <c r="X118" t="s">
        <v>43</v>
      </c>
      <c r="Y118" t="s">
        <v>44</v>
      </c>
      <c r="Z118">
        <v>10888.5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275.434275857329</v>
      </c>
    </row>
    <row r="119" spans="1:36" x14ac:dyDescent="0.25">
      <c r="A119" t="s">
        <v>72</v>
      </c>
      <c r="B119">
        <v>2025</v>
      </c>
      <c r="C119">
        <v>3</v>
      </c>
      <c r="D119" t="s">
        <v>91</v>
      </c>
      <c r="E119" t="s">
        <v>95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52</v>
      </c>
      <c r="V119" t="s">
        <v>40</v>
      </c>
      <c r="W119" t="s">
        <v>41</v>
      </c>
      <c r="X119" t="s">
        <v>43</v>
      </c>
      <c r="Y119" t="s">
        <v>44</v>
      </c>
      <c r="Z119">
        <v>10888.5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273.12819281112422</v>
      </c>
    </row>
    <row r="120" spans="1:36" x14ac:dyDescent="0.25">
      <c r="A120" t="s">
        <v>72</v>
      </c>
      <c r="B120">
        <v>2025</v>
      </c>
      <c r="C120">
        <v>3</v>
      </c>
      <c r="D120" t="s">
        <v>91</v>
      </c>
      <c r="E120" t="s">
        <v>95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52</v>
      </c>
      <c r="V120" t="s">
        <v>40</v>
      </c>
      <c r="W120" t="s">
        <v>41</v>
      </c>
      <c r="X120" t="s">
        <v>43</v>
      </c>
      <c r="Y120" t="s">
        <v>44</v>
      </c>
      <c r="Z120">
        <v>10888.5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394.5749766634716</v>
      </c>
    </row>
    <row r="121" spans="1:36" x14ac:dyDescent="0.25">
      <c r="A121" t="s">
        <v>72</v>
      </c>
      <c r="B121">
        <v>2025</v>
      </c>
      <c r="C121">
        <v>3</v>
      </c>
      <c r="D121" t="s">
        <v>91</v>
      </c>
      <c r="E121" t="s">
        <v>95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52</v>
      </c>
      <c r="V121" t="s">
        <v>40</v>
      </c>
      <c r="W121" t="s">
        <v>41</v>
      </c>
      <c r="X121" t="s">
        <v>43</v>
      </c>
      <c r="Y121" t="s">
        <v>44</v>
      </c>
      <c r="Z121">
        <v>10888.5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25">
      <c r="A122" t="s">
        <v>72</v>
      </c>
      <c r="B122">
        <v>2025</v>
      </c>
      <c r="C122">
        <v>3</v>
      </c>
      <c r="D122" t="s">
        <v>91</v>
      </c>
      <c r="E122" t="s">
        <v>95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52</v>
      </c>
      <c r="V122" t="s">
        <v>40</v>
      </c>
      <c r="W122" t="s">
        <v>41</v>
      </c>
      <c r="X122" t="s">
        <v>43</v>
      </c>
      <c r="Y122" t="s">
        <v>44</v>
      </c>
      <c r="Z122">
        <v>10888.5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25">
      <c r="A123" t="s">
        <v>72</v>
      </c>
      <c r="B123">
        <v>2025</v>
      </c>
      <c r="C123">
        <v>3</v>
      </c>
      <c r="D123" t="s">
        <v>91</v>
      </c>
      <c r="E123" t="s">
        <v>95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52</v>
      </c>
      <c r="V123" t="s">
        <v>40</v>
      </c>
      <c r="W123" t="s">
        <v>41</v>
      </c>
      <c r="X123" t="s">
        <v>43</v>
      </c>
      <c r="Y123" t="s">
        <v>44</v>
      </c>
      <c r="Z123">
        <v>10888.5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25">
      <c r="A124" t="s">
        <v>72</v>
      </c>
      <c r="B124">
        <v>2025</v>
      </c>
      <c r="C124">
        <v>3</v>
      </c>
      <c r="D124" t="s">
        <v>91</v>
      </c>
      <c r="E124" t="s">
        <v>95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52</v>
      </c>
      <c r="V124" t="s">
        <v>40</v>
      </c>
      <c r="W124" t="s">
        <v>41</v>
      </c>
      <c r="X124" t="s">
        <v>43</v>
      </c>
      <c r="Y124" t="s">
        <v>44</v>
      </c>
      <c r="Z124">
        <v>10888.5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25">
      <c r="A125" t="s">
        <v>72</v>
      </c>
      <c r="B125">
        <v>2025</v>
      </c>
      <c r="C125">
        <v>3</v>
      </c>
      <c r="D125" t="s">
        <v>91</v>
      </c>
      <c r="E125" t="s">
        <v>95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52</v>
      </c>
      <c r="V125" t="s">
        <v>40</v>
      </c>
      <c r="W125" t="s">
        <v>41</v>
      </c>
      <c r="X125" t="s">
        <v>43</v>
      </c>
      <c r="Y125" t="s">
        <v>44</v>
      </c>
      <c r="Z125">
        <v>10888.5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25">
      <c r="A126" t="s">
        <v>72</v>
      </c>
      <c r="B126">
        <v>2025</v>
      </c>
      <c r="C126">
        <v>3</v>
      </c>
      <c r="D126" t="s">
        <v>91</v>
      </c>
      <c r="E126" t="s">
        <v>95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52</v>
      </c>
      <c r="V126" t="s">
        <v>40</v>
      </c>
      <c r="W126" t="s">
        <v>41</v>
      </c>
      <c r="X126" t="s">
        <v>43</v>
      </c>
      <c r="Y126" t="s">
        <v>44</v>
      </c>
      <c r="Z126">
        <v>10888.5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25">
      <c r="A127" t="s">
        <v>72</v>
      </c>
      <c r="B127">
        <v>2025</v>
      </c>
      <c r="C127">
        <v>3</v>
      </c>
      <c r="D127" t="s">
        <v>91</v>
      </c>
      <c r="E127" t="s">
        <v>95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52</v>
      </c>
      <c r="V127" t="s">
        <v>40</v>
      </c>
      <c r="W127" t="s">
        <v>41</v>
      </c>
      <c r="X127" t="s">
        <v>43</v>
      </c>
      <c r="Y127" t="s">
        <v>44</v>
      </c>
      <c r="Z127">
        <v>10888.5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25">
      <c r="A128" t="s">
        <v>72</v>
      </c>
      <c r="B128">
        <v>2025</v>
      </c>
      <c r="C128">
        <v>3</v>
      </c>
      <c r="D128" t="s">
        <v>91</v>
      </c>
      <c r="E128" t="s">
        <v>95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1</v>
      </c>
      <c r="S128" t="s">
        <v>38</v>
      </c>
      <c r="T128" t="s">
        <v>39</v>
      </c>
      <c r="V128" t="s">
        <v>40</v>
      </c>
      <c r="W128" t="s">
        <v>41</v>
      </c>
      <c r="X128" t="s">
        <v>43</v>
      </c>
      <c r="Y128" t="s">
        <v>44</v>
      </c>
      <c r="Z128">
        <v>249986.1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786.00286799432956</v>
      </c>
    </row>
    <row r="129" spans="1:36" x14ac:dyDescent="0.25">
      <c r="A129" t="s">
        <v>72</v>
      </c>
      <c r="B129">
        <v>2025</v>
      </c>
      <c r="C129">
        <v>3</v>
      </c>
      <c r="D129" t="s">
        <v>91</v>
      </c>
      <c r="E129" t="s">
        <v>95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1</v>
      </c>
      <c r="S129" t="s">
        <v>38</v>
      </c>
      <c r="T129" t="s">
        <v>39</v>
      </c>
      <c r="V129" t="s">
        <v>40</v>
      </c>
      <c r="W129" t="s">
        <v>41</v>
      </c>
      <c r="X129" t="s">
        <v>43</v>
      </c>
      <c r="Y129" t="s">
        <v>44</v>
      </c>
      <c r="Z129">
        <v>249986.1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1148.6173333863294</v>
      </c>
    </row>
    <row r="130" spans="1:36" x14ac:dyDescent="0.25">
      <c r="A130" t="s">
        <v>72</v>
      </c>
      <c r="B130">
        <v>2025</v>
      </c>
      <c r="C130">
        <v>3</v>
      </c>
      <c r="D130" t="s">
        <v>91</v>
      </c>
      <c r="E130" t="s">
        <v>95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1</v>
      </c>
      <c r="S130" t="s">
        <v>38</v>
      </c>
      <c r="T130" t="s">
        <v>39</v>
      </c>
      <c r="V130" t="s">
        <v>40</v>
      </c>
      <c r="W130" t="s">
        <v>41</v>
      </c>
      <c r="X130" t="s">
        <v>43</v>
      </c>
      <c r="Y130" t="s">
        <v>44</v>
      </c>
      <c r="Z130">
        <v>249986.1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368.14292850367553</v>
      </c>
    </row>
    <row r="131" spans="1:36" x14ac:dyDescent="0.25">
      <c r="A131" t="s">
        <v>72</v>
      </c>
      <c r="B131">
        <v>2025</v>
      </c>
      <c r="C131">
        <v>3</v>
      </c>
      <c r="D131" t="s">
        <v>91</v>
      </c>
      <c r="E131" t="s">
        <v>95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1</v>
      </c>
      <c r="S131" t="s">
        <v>38</v>
      </c>
      <c r="T131" t="s">
        <v>39</v>
      </c>
      <c r="V131" t="s">
        <v>40</v>
      </c>
      <c r="W131" t="s">
        <v>41</v>
      </c>
      <c r="X131" t="s">
        <v>43</v>
      </c>
      <c r="Y131" t="s">
        <v>44</v>
      </c>
      <c r="Z131">
        <v>249986.1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4270.3062986000914</v>
      </c>
    </row>
    <row r="132" spans="1:36" x14ac:dyDescent="0.25">
      <c r="A132" t="s">
        <v>72</v>
      </c>
      <c r="B132">
        <v>2025</v>
      </c>
      <c r="C132">
        <v>3</v>
      </c>
      <c r="D132" t="s">
        <v>91</v>
      </c>
      <c r="E132" t="s">
        <v>95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1</v>
      </c>
      <c r="S132" t="s">
        <v>38</v>
      </c>
      <c r="T132" t="s">
        <v>39</v>
      </c>
      <c r="V132" t="s">
        <v>40</v>
      </c>
      <c r="W132" t="s">
        <v>41</v>
      </c>
      <c r="X132" t="s">
        <v>43</v>
      </c>
      <c r="Y132" t="s">
        <v>44</v>
      </c>
      <c r="Z132">
        <v>249986.1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6323.6203726773956</v>
      </c>
    </row>
    <row r="133" spans="1:36" x14ac:dyDescent="0.25">
      <c r="A133" t="s">
        <v>72</v>
      </c>
      <c r="B133">
        <v>2025</v>
      </c>
      <c r="C133">
        <v>3</v>
      </c>
      <c r="D133" t="s">
        <v>91</v>
      </c>
      <c r="E133" t="s">
        <v>95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1</v>
      </c>
      <c r="S133" t="s">
        <v>38</v>
      </c>
      <c r="T133" t="s">
        <v>39</v>
      </c>
      <c r="V133" t="s">
        <v>40</v>
      </c>
      <c r="W133" t="s">
        <v>41</v>
      </c>
      <c r="X133" t="s">
        <v>43</v>
      </c>
      <c r="Y133" t="s">
        <v>44</v>
      </c>
      <c r="Z133">
        <v>249986.1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6270.6756413556486</v>
      </c>
    </row>
    <row r="134" spans="1:36" x14ac:dyDescent="0.25">
      <c r="A134" t="s">
        <v>72</v>
      </c>
      <c r="B134">
        <v>2025</v>
      </c>
      <c r="C134">
        <v>3</v>
      </c>
      <c r="D134" t="s">
        <v>91</v>
      </c>
      <c r="E134" t="s">
        <v>95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1</v>
      </c>
      <c r="S134" t="s">
        <v>38</v>
      </c>
      <c r="T134" t="s">
        <v>39</v>
      </c>
      <c r="V134" t="s">
        <v>40</v>
      </c>
      <c r="W134" t="s">
        <v>41</v>
      </c>
      <c r="X134" t="s">
        <v>43</v>
      </c>
      <c r="Y134" t="s">
        <v>44</v>
      </c>
      <c r="Z134">
        <v>249986.1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9058.9392086781718</v>
      </c>
    </row>
    <row r="135" spans="1:36" x14ac:dyDescent="0.25">
      <c r="A135" t="s">
        <v>72</v>
      </c>
      <c r="B135">
        <v>2025</v>
      </c>
      <c r="C135">
        <v>3</v>
      </c>
      <c r="D135" t="s">
        <v>91</v>
      </c>
      <c r="E135" t="s">
        <v>95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1</v>
      </c>
      <c r="S135" t="s">
        <v>38</v>
      </c>
      <c r="T135" t="s">
        <v>39</v>
      </c>
      <c r="V135" t="s">
        <v>40</v>
      </c>
      <c r="W135" t="s">
        <v>41</v>
      </c>
      <c r="X135" t="s">
        <v>43</v>
      </c>
      <c r="Y135" t="s">
        <v>44</v>
      </c>
      <c r="Z135">
        <v>249986.1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25">
      <c r="A136" t="s">
        <v>72</v>
      </c>
      <c r="B136">
        <v>2025</v>
      </c>
      <c r="C136">
        <v>3</v>
      </c>
      <c r="D136" t="s">
        <v>91</v>
      </c>
      <c r="E136" t="s">
        <v>95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1</v>
      </c>
      <c r="S136" t="s">
        <v>38</v>
      </c>
      <c r="T136" t="s">
        <v>39</v>
      </c>
      <c r="V136" t="s">
        <v>40</v>
      </c>
      <c r="W136" t="s">
        <v>41</v>
      </c>
      <c r="X136" t="s">
        <v>43</v>
      </c>
      <c r="Y136" t="s">
        <v>44</v>
      </c>
      <c r="Z136">
        <v>249986.1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25">
      <c r="A137" t="s">
        <v>72</v>
      </c>
      <c r="B137">
        <v>2025</v>
      </c>
      <c r="C137">
        <v>3</v>
      </c>
      <c r="D137" t="s">
        <v>91</v>
      </c>
      <c r="E137" t="s">
        <v>95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1</v>
      </c>
      <c r="S137" t="s">
        <v>38</v>
      </c>
      <c r="T137" t="s">
        <v>39</v>
      </c>
      <c r="V137" t="s">
        <v>40</v>
      </c>
      <c r="W137" t="s">
        <v>41</v>
      </c>
      <c r="X137" t="s">
        <v>43</v>
      </c>
      <c r="Y137" t="s">
        <v>44</v>
      </c>
      <c r="Z137">
        <v>249986.1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25">
      <c r="A138" t="s">
        <v>72</v>
      </c>
      <c r="B138">
        <v>2025</v>
      </c>
      <c r="C138">
        <v>3</v>
      </c>
      <c r="D138" t="s">
        <v>91</v>
      </c>
      <c r="E138" t="s">
        <v>95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1</v>
      </c>
      <c r="S138" t="s">
        <v>38</v>
      </c>
      <c r="T138" t="s">
        <v>39</v>
      </c>
      <c r="V138" t="s">
        <v>40</v>
      </c>
      <c r="W138" t="s">
        <v>41</v>
      </c>
      <c r="X138" t="s">
        <v>43</v>
      </c>
      <c r="Y138" t="s">
        <v>44</v>
      </c>
      <c r="Z138">
        <v>249986.1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25">
      <c r="A139" t="s">
        <v>72</v>
      </c>
      <c r="B139">
        <v>2025</v>
      </c>
      <c r="C139">
        <v>3</v>
      </c>
      <c r="D139" t="s">
        <v>91</v>
      </c>
      <c r="E139" t="s">
        <v>95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1</v>
      </c>
      <c r="S139" t="s">
        <v>38</v>
      </c>
      <c r="T139" t="s">
        <v>39</v>
      </c>
      <c r="V139" t="s">
        <v>40</v>
      </c>
      <c r="W139" t="s">
        <v>41</v>
      </c>
      <c r="X139" t="s">
        <v>43</v>
      </c>
      <c r="Y139" t="s">
        <v>44</v>
      </c>
      <c r="Z139">
        <v>249986.1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25">
      <c r="A140" t="s">
        <v>72</v>
      </c>
      <c r="B140">
        <v>2025</v>
      </c>
      <c r="C140">
        <v>3</v>
      </c>
      <c r="D140" t="s">
        <v>91</v>
      </c>
      <c r="E140" t="s">
        <v>95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1</v>
      </c>
      <c r="S140" t="s">
        <v>38</v>
      </c>
      <c r="T140" t="s">
        <v>39</v>
      </c>
      <c r="V140" t="s">
        <v>40</v>
      </c>
      <c r="W140" t="s">
        <v>41</v>
      </c>
      <c r="X140" t="s">
        <v>43</v>
      </c>
      <c r="Y140" t="s">
        <v>44</v>
      </c>
      <c r="Z140">
        <v>249986.1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25">
      <c r="A141" t="s">
        <v>72</v>
      </c>
      <c r="B141">
        <v>2025</v>
      </c>
      <c r="C141">
        <v>3</v>
      </c>
      <c r="D141" t="s">
        <v>91</v>
      </c>
      <c r="E141" t="s">
        <v>95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1</v>
      </c>
      <c r="S141" t="s">
        <v>38</v>
      </c>
      <c r="T141" t="s">
        <v>39</v>
      </c>
      <c r="V141" t="s">
        <v>40</v>
      </c>
      <c r="W141" t="s">
        <v>41</v>
      </c>
      <c r="X141" t="s">
        <v>43</v>
      </c>
      <c r="Y141" t="s">
        <v>44</v>
      </c>
      <c r="Z141">
        <v>249986.1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25">
      <c r="A142" t="s">
        <v>72</v>
      </c>
      <c r="B142">
        <v>2025</v>
      </c>
      <c r="C142">
        <v>3</v>
      </c>
      <c r="D142" t="s">
        <v>91</v>
      </c>
      <c r="E142" t="s">
        <v>95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52</v>
      </c>
      <c r="V142" t="s">
        <v>40</v>
      </c>
      <c r="W142" t="s">
        <v>41</v>
      </c>
      <c r="X142" t="s">
        <v>43</v>
      </c>
      <c r="Y142" t="s">
        <v>44</v>
      </c>
      <c r="Z142">
        <v>4302.5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13.527861507282216</v>
      </c>
    </row>
    <row r="143" spans="1:36" x14ac:dyDescent="0.25">
      <c r="A143" t="s">
        <v>72</v>
      </c>
      <c r="B143">
        <v>2025</v>
      </c>
      <c r="C143">
        <v>3</v>
      </c>
      <c r="D143" t="s">
        <v>91</v>
      </c>
      <c r="E143" t="s">
        <v>95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52</v>
      </c>
      <c r="V143" t="s">
        <v>40</v>
      </c>
      <c r="W143" t="s">
        <v>41</v>
      </c>
      <c r="X143" t="s">
        <v>43</v>
      </c>
      <c r="Y143" t="s">
        <v>44</v>
      </c>
      <c r="Z143">
        <v>4302.5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19.768803453050719</v>
      </c>
    </row>
    <row r="144" spans="1:36" x14ac:dyDescent="0.25">
      <c r="A144" t="s">
        <v>72</v>
      </c>
      <c r="B144">
        <v>2025</v>
      </c>
      <c r="C144">
        <v>3</v>
      </c>
      <c r="D144" t="s">
        <v>91</v>
      </c>
      <c r="E144" t="s">
        <v>95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52</v>
      </c>
      <c r="V144" t="s">
        <v>40</v>
      </c>
      <c r="W144" t="s">
        <v>41</v>
      </c>
      <c r="X144" t="s">
        <v>43</v>
      </c>
      <c r="Y144" t="s">
        <v>44</v>
      </c>
      <c r="Z144">
        <v>4302.5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6.3360920862682519</v>
      </c>
    </row>
    <row r="145" spans="1:36" x14ac:dyDescent="0.25">
      <c r="A145" t="s">
        <v>72</v>
      </c>
      <c r="B145">
        <v>2025</v>
      </c>
      <c r="C145">
        <v>3</v>
      </c>
      <c r="D145" t="s">
        <v>91</v>
      </c>
      <c r="E145" t="s">
        <v>95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52</v>
      </c>
      <c r="V145" t="s">
        <v>40</v>
      </c>
      <c r="W145" t="s">
        <v>41</v>
      </c>
      <c r="X145" t="s">
        <v>43</v>
      </c>
      <c r="Y145" t="s">
        <v>44</v>
      </c>
      <c r="Z145">
        <v>4302.5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73.496057779720132</v>
      </c>
    </row>
    <row r="146" spans="1:36" x14ac:dyDescent="0.25">
      <c r="A146" t="s">
        <v>72</v>
      </c>
      <c r="B146">
        <v>2025</v>
      </c>
      <c r="C146">
        <v>3</v>
      </c>
      <c r="D146" t="s">
        <v>91</v>
      </c>
      <c r="E146" t="s">
        <v>95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52</v>
      </c>
      <c r="V146" t="s">
        <v>40</v>
      </c>
      <c r="W146" t="s">
        <v>41</v>
      </c>
      <c r="X146" t="s">
        <v>43</v>
      </c>
      <c r="Y146" t="s">
        <v>44</v>
      </c>
      <c r="Z146">
        <v>4302.5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108.8355578707956</v>
      </c>
    </row>
    <row r="147" spans="1:36" x14ac:dyDescent="0.25">
      <c r="A147" t="s">
        <v>72</v>
      </c>
      <c r="B147">
        <v>2025</v>
      </c>
      <c r="C147">
        <v>3</v>
      </c>
      <c r="D147" t="s">
        <v>91</v>
      </c>
      <c r="E147" t="s">
        <v>95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52</v>
      </c>
      <c r="V147" t="s">
        <v>40</v>
      </c>
      <c r="W147" t="s">
        <v>41</v>
      </c>
      <c r="X147" t="s">
        <v>43</v>
      </c>
      <c r="Y147" t="s">
        <v>44</v>
      </c>
      <c r="Z147">
        <v>4302.5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107.92432838038866</v>
      </c>
    </row>
    <row r="148" spans="1:36" x14ac:dyDescent="0.25">
      <c r="A148" t="s">
        <v>72</v>
      </c>
      <c r="B148">
        <v>2025</v>
      </c>
      <c r="C148">
        <v>3</v>
      </c>
      <c r="D148" t="s">
        <v>91</v>
      </c>
      <c r="E148" t="s">
        <v>95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52</v>
      </c>
      <c r="V148" t="s">
        <v>40</v>
      </c>
      <c r="W148" t="s">
        <v>41</v>
      </c>
      <c r="X148" t="s">
        <v>43</v>
      </c>
      <c r="Y148" t="s">
        <v>44</v>
      </c>
      <c r="Z148">
        <v>4302.5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155.91301254484884</v>
      </c>
    </row>
    <row r="149" spans="1:36" x14ac:dyDescent="0.25">
      <c r="A149" t="s">
        <v>72</v>
      </c>
      <c r="B149">
        <v>2025</v>
      </c>
      <c r="C149">
        <v>3</v>
      </c>
      <c r="D149" t="s">
        <v>91</v>
      </c>
      <c r="E149" t="s">
        <v>95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52</v>
      </c>
      <c r="V149" t="s">
        <v>40</v>
      </c>
      <c r="W149" t="s">
        <v>41</v>
      </c>
      <c r="X149" t="s">
        <v>43</v>
      </c>
      <c r="Y149" t="s">
        <v>44</v>
      </c>
      <c r="Z149">
        <v>4302.5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25">
      <c r="A150" t="s">
        <v>72</v>
      </c>
      <c r="B150">
        <v>2025</v>
      </c>
      <c r="C150">
        <v>3</v>
      </c>
      <c r="D150" t="s">
        <v>91</v>
      </c>
      <c r="E150" t="s">
        <v>95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52</v>
      </c>
      <c r="V150" t="s">
        <v>40</v>
      </c>
      <c r="W150" t="s">
        <v>41</v>
      </c>
      <c r="X150" t="s">
        <v>43</v>
      </c>
      <c r="Y150" t="s">
        <v>44</v>
      </c>
      <c r="Z150">
        <v>4302.5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25">
      <c r="A151" t="s">
        <v>72</v>
      </c>
      <c r="B151">
        <v>2025</v>
      </c>
      <c r="C151">
        <v>3</v>
      </c>
      <c r="D151" t="s">
        <v>91</v>
      </c>
      <c r="E151" t="s">
        <v>95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52</v>
      </c>
      <c r="V151" t="s">
        <v>40</v>
      </c>
      <c r="W151" t="s">
        <v>41</v>
      </c>
      <c r="X151" t="s">
        <v>43</v>
      </c>
      <c r="Y151" t="s">
        <v>44</v>
      </c>
      <c r="Z151">
        <v>4302.5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25">
      <c r="A152" t="s">
        <v>72</v>
      </c>
      <c r="B152">
        <v>2025</v>
      </c>
      <c r="C152">
        <v>3</v>
      </c>
      <c r="D152" t="s">
        <v>91</v>
      </c>
      <c r="E152" t="s">
        <v>95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52</v>
      </c>
      <c r="V152" t="s">
        <v>40</v>
      </c>
      <c r="W152" t="s">
        <v>41</v>
      </c>
      <c r="X152" t="s">
        <v>43</v>
      </c>
      <c r="Y152" t="s">
        <v>44</v>
      </c>
      <c r="Z152">
        <v>4302.5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25">
      <c r="A153" t="s">
        <v>72</v>
      </c>
      <c r="B153">
        <v>2025</v>
      </c>
      <c r="C153">
        <v>3</v>
      </c>
      <c r="D153" t="s">
        <v>91</v>
      </c>
      <c r="E153" t="s">
        <v>95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52</v>
      </c>
      <c r="V153" t="s">
        <v>40</v>
      </c>
      <c r="W153" t="s">
        <v>41</v>
      </c>
      <c r="X153" t="s">
        <v>43</v>
      </c>
      <c r="Y153" t="s">
        <v>44</v>
      </c>
      <c r="Z153">
        <v>4302.5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25">
      <c r="A154" t="s">
        <v>72</v>
      </c>
      <c r="B154">
        <v>2025</v>
      </c>
      <c r="C154">
        <v>3</v>
      </c>
      <c r="D154" t="s">
        <v>91</v>
      </c>
      <c r="E154" t="s">
        <v>95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52</v>
      </c>
      <c r="V154" t="s">
        <v>40</v>
      </c>
      <c r="W154" t="s">
        <v>41</v>
      </c>
      <c r="X154" t="s">
        <v>43</v>
      </c>
      <c r="Y154" t="s">
        <v>44</v>
      </c>
      <c r="Z154">
        <v>4302.5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25">
      <c r="A155" t="s">
        <v>72</v>
      </c>
      <c r="B155">
        <v>2025</v>
      </c>
      <c r="C155">
        <v>3</v>
      </c>
      <c r="D155" t="s">
        <v>91</v>
      </c>
      <c r="E155" t="s">
        <v>95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52</v>
      </c>
      <c r="V155" t="s">
        <v>40</v>
      </c>
      <c r="W155" t="s">
        <v>41</v>
      </c>
      <c r="X155" t="s">
        <v>43</v>
      </c>
      <c r="Y155" t="s">
        <v>44</v>
      </c>
      <c r="Z155">
        <v>4302.5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25">
      <c r="A156" t="s">
        <v>72</v>
      </c>
      <c r="B156">
        <v>2025</v>
      </c>
      <c r="C156">
        <v>3</v>
      </c>
      <c r="D156" t="s">
        <v>91</v>
      </c>
      <c r="E156" t="s">
        <v>95</v>
      </c>
      <c r="F156" t="s">
        <v>78</v>
      </c>
      <c r="H156" t="s">
        <v>51</v>
      </c>
      <c r="I156" t="s">
        <v>33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2</v>
      </c>
      <c r="S156" t="s">
        <v>38</v>
      </c>
      <c r="T156" t="s">
        <v>39</v>
      </c>
      <c r="V156" t="s">
        <v>40</v>
      </c>
      <c r="W156" t="s">
        <v>41</v>
      </c>
      <c r="X156" t="s">
        <v>43</v>
      </c>
      <c r="Y156" t="s">
        <v>44</v>
      </c>
      <c r="Z156">
        <v>37849.599999999999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119.00619335410319</v>
      </c>
    </row>
    <row r="157" spans="1:36" x14ac:dyDescent="0.25">
      <c r="A157" t="s">
        <v>72</v>
      </c>
      <c r="B157">
        <v>2025</v>
      </c>
      <c r="C157">
        <v>3</v>
      </c>
      <c r="D157" t="s">
        <v>91</v>
      </c>
      <c r="E157" t="s">
        <v>95</v>
      </c>
      <c r="F157" t="s">
        <v>78</v>
      </c>
      <c r="H157" t="s">
        <v>51</v>
      </c>
      <c r="I157" t="s">
        <v>33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2</v>
      </c>
      <c r="S157" t="s">
        <v>38</v>
      </c>
      <c r="T157" t="s">
        <v>39</v>
      </c>
      <c r="V157" t="s">
        <v>40</v>
      </c>
      <c r="W157" t="s">
        <v>41</v>
      </c>
      <c r="X157" t="s">
        <v>43</v>
      </c>
      <c r="Y157" t="s">
        <v>44</v>
      </c>
      <c r="Z157">
        <v>37849.599999999999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173.90849579932328</v>
      </c>
    </row>
    <row r="158" spans="1:36" x14ac:dyDescent="0.25">
      <c r="A158" t="s">
        <v>72</v>
      </c>
      <c r="B158">
        <v>2025</v>
      </c>
      <c r="C158">
        <v>3</v>
      </c>
      <c r="D158" t="s">
        <v>91</v>
      </c>
      <c r="E158" t="s">
        <v>95</v>
      </c>
      <c r="F158" t="s">
        <v>78</v>
      </c>
      <c r="H158" t="s">
        <v>51</v>
      </c>
      <c r="I158" t="s">
        <v>33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2</v>
      </c>
      <c r="S158" t="s">
        <v>38</v>
      </c>
      <c r="T158" t="s">
        <v>39</v>
      </c>
      <c r="V158" t="s">
        <v>40</v>
      </c>
      <c r="W158" t="s">
        <v>41</v>
      </c>
      <c r="X158" t="s">
        <v>43</v>
      </c>
      <c r="Y158" t="s">
        <v>44</v>
      </c>
      <c r="Z158">
        <v>37849.599999999999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55.739349454600536</v>
      </c>
    </row>
    <row r="159" spans="1:36" x14ac:dyDescent="0.25">
      <c r="A159" t="s">
        <v>72</v>
      </c>
      <c r="B159">
        <v>2025</v>
      </c>
      <c r="C159">
        <v>3</v>
      </c>
      <c r="D159" t="s">
        <v>91</v>
      </c>
      <c r="E159" t="s">
        <v>95</v>
      </c>
      <c r="F159" t="s">
        <v>78</v>
      </c>
      <c r="H159" t="s">
        <v>51</v>
      </c>
      <c r="I159" t="s">
        <v>33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2</v>
      </c>
      <c r="S159" t="s">
        <v>38</v>
      </c>
      <c r="T159" t="s">
        <v>39</v>
      </c>
      <c r="V159" t="s">
        <v>40</v>
      </c>
      <c r="W159" t="s">
        <v>41</v>
      </c>
      <c r="X159" t="s">
        <v>43</v>
      </c>
      <c r="Y159" t="s">
        <v>44</v>
      </c>
      <c r="Z159">
        <v>37849.599999999999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646.55348949199185</v>
      </c>
    </row>
    <row r="160" spans="1:36" x14ac:dyDescent="0.25">
      <c r="A160" t="s">
        <v>72</v>
      </c>
      <c r="B160">
        <v>2025</v>
      </c>
      <c r="C160">
        <v>3</v>
      </c>
      <c r="D160" t="s">
        <v>91</v>
      </c>
      <c r="E160" t="s">
        <v>95</v>
      </c>
      <c r="F160" t="s">
        <v>78</v>
      </c>
      <c r="H160" t="s">
        <v>51</v>
      </c>
      <c r="I160" t="s">
        <v>33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2</v>
      </c>
      <c r="S160" t="s">
        <v>38</v>
      </c>
      <c r="T160" t="s">
        <v>39</v>
      </c>
      <c r="V160" t="s">
        <v>40</v>
      </c>
      <c r="W160" t="s">
        <v>41</v>
      </c>
      <c r="X160" t="s">
        <v>43</v>
      </c>
      <c r="Y160" t="s">
        <v>44</v>
      </c>
      <c r="Z160">
        <v>37849.599999999999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957.43924025251943</v>
      </c>
    </row>
    <row r="161" spans="1:36" x14ac:dyDescent="0.25">
      <c r="A161" t="s">
        <v>72</v>
      </c>
      <c r="B161">
        <v>2025</v>
      </c>
      <c r="C161">
        <v>3</v>
      </c>
      <c r="D161" t="s">
        <v>91</v>
      </c>
      <c r="E161" t="s">
        <v>95</v>
      </c>
      <c r="F161" t="s">
        <v>78</v>
      </c>
      <c r="H161" t="s">
        <v>51</v>
      </c>
      <c r="I161" t="s">
        <v>33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2</v>
      </c>
      <c r="S161" t="s">
        <v>38</v>
      </c>
      <c r="T161" t="s">
        <v>39</v>
      </c>
      <c r="V161" t="s">
        <v>40</v>
      </c>
      <c r="W161" t="s">
        <v>41</v>
      </c>
      <c r="X161" t="s">
        <v>43</v>
      </c>
      <c r="Y161" t="s">
        <v>44</v>
      </c>
      <c r="Z161">
        <v>37849.599999999999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949.42304694162897</v>
      </c>
    </row>
    <row r="162" spans="1:36" x14ac:dyDescent="0.25">
      <c r="A162" t="s">
        <v>72</v>
      </c>
      <c r="B162">
        <v>2025</v>
      </c>
      <c r="C162">
        <v>3</v>
      </c>
      <c r="D162" t="s">
        <v>91</v>
      </c>
      <c r="E162" t="s">
        <v>95</v>
      </c>
      <c r="F162" t="s">
        <v>78</v>
      </c>
      <c r="H162" t="s">
        <v>51</v>
      </c>
      <c r="I162" t="s">
        <v>33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2</v>
      </c>
      <c r="S162" t="s">
        <v>38</v>
      </c>
      <c r="T162" t="s">
        <v>39</v>
      </c>
      <c r="V162" t="s">
        <v>40</v>
      </c>
      <c r="W162" t="s">
        <v>41</v>
      </c>
      <c r="X162" t="s">
        <v>43</v>
      </c>
      <c r="Y162" t="s">
        <v>44</v>
      </c>
      <c r="Z162">
        <v>37849.599999999999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1371.5851620261499</v>
      </c>
    </row>
    <row r="163" spans="1:36" x14ac:dyDescent="0.25">
      <c r="A163" t="s">
        <v>72</v>
      </c>
      <c r="B163">
        <v>2025</v>
      </c>
      <c r="C163">
        <v>3</v>
      </c>
      <c r="D163" t="s">
        <v>91</v>
      </c>
      <c r="E163" t="s">
        <v>95</v>
      </c>
      <c r="F163" t="s">
        <v>78</v>
      </c>
      <c r="H163" t="s">
        <v>51</v>
      </c>
      <c r="I163" t="s">
        <v>33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2</v>
      </c>
      <c r="S163" t="s">
        <v>38</v>
      </c>
      <c r="T163" t="s">
        <v>39</v>
      </c>
      <c r="V163" t="s">
        <v>40</v>
      </c>
      <c r="W163" t="s">
        <v>41</v>
      </c>
      <c r="X163" t="s">
        <v>43</v>
      </c>
      <c r="Y163" t="s">
        <v>44</v>
      </c>
      <c r="Z163">
        <v>37849.599999999999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25">
      <c r="A164" t="s">
        <v>72</v>
      </c>
      <c r="B164">
        <v>2025</v>
      </c>
      <c r="C164">
        <v>3</v>
      </c>
      <c r="D164" t="s">
        <v>91</v>
      </c>
      <c r="E164" t="s">
        <v>95</v>
      </c>
      <c r="F164" t="s">
        <v>78</v>
      </c>
      <c r="H164" t="s">
        <v>51</v>
      </c>
      <c r="I164" t="s">
        <v>33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2</v>
      </c>
      <c r="S164" t="s">
        <v>38</v>
      </c>
      <c r="T164" t="s">
        <v>39</v>
      </c>
      <c r="V164" t="s">
        <v>40</v>
      </c>
      <c r="W164" t="s">
        <v>41</v>
      </c>
      <c r="X164" t="s">
        <v>43</v>
      </c>
      <c r="Y164" t="s">
        <v>44</v>
      </c>
      <c r="Z164">
        <v>37849.599999999999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25">
      <c r="A165" t="s">
        <v>72</v>
      </c>
      <c r="B165">
        <v>2025</v>
      </c>
      <c r="C165">
        <v>3</v>
      </c>
      <c r="D165" t="s">
        <v>91</v>
      </c>
      <c r="E165" t="s">
        <v>95</v>
      </c>
      <c r="F165" t="s">
        <v>78</v>
      </c>
      <c r="H165" t="s">
        <v>51</v>
      </c>
      <c r="I165" t="s">
        <v>33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2</v>
      </c>
      <c r="S165" t="s">
        <v>38</v>
      </c>
      <c r="T165" t="s">
        <v>39</v>
      </c>
      <c r="V165" t="s">
        <v>40</v>
      </c>
      <c r="W165" t="s">
        <v>41</v>
      </c>
      <c r="X165" t="s">
        <v>43</v>
      </c>
      <c r="Y165" t="s">
        <v>44</v>
      </c>
      <c r="Z165">
        <v>37849.599999999999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25">
      <c r="A166" t="s">
        <v>72</v>
      </c>
      <c r="B166">
        <v>2025</v>
      </c>
      <c r="C166">
        <v>3</v>
      </c>
      <c r="D166" t="s">
        <v>91</v>
      </c>
      <c r="E166" t="s">
        <v>95</v>
      </c>
      <c r="F166" t="s">
        <v>78</v>
      </c>
      <c r="H166" t="s">
        <v>51</v>
      </c>
      <c r="I166" t="s">
        <v>33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2</v>
      </c>
      <c r="S166" t="s">
        <v>38</v>
      </c>
      <c r="T166" t="s">
        <v>39</v>
      </c>
      <c r="V166" t="s">
        <v>40</v>
      </c>
      <c r="W166" t="s">
        <v>41</v>
      </c>
      <c r="X166" t="s">
        <v>43</v>
      </c>
      <c r="Y166" t="s">
        <v>44</v>
      </c>
      <c r="Z166">
        <v>37849.599999999999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25">
      <c r="A167" t="s">
        <v>72</v>
      </c>
      <c r="B167">
        <v>2025</v>
      </c>
      <c r="C167">
        <v>3</v>
      </c>
      <c r="D167" t="s">
        <v>91</v>
      </c>
      <c r="E167" t="s">
        <v>95</v>
      </c>
      <c r="F167" t="s">
        <v>78</v>
      </c>
      <c r="H167" t="s">
        <v>51</v>
      </c>
      <c r="I167" t="s">
        <v>33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2</v>
      </c>
      <c r="S167" t="s">
        <v>38</v>
      </c>
      <c r="T167" t="s">
        <v>39</v>
      </c>
      <c r="V167" t="s">
        <v>40</v>
      </c>
      <c r="W167" t="s">
        <v>41</v>
      </c>
      <c r="X167" t="s">
        <v>43</v>
      </c>
      <c r="Y167" t="s">
        <v>44</v>
      </c>
      <c r="Z167">
        <v>37849.599999999999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25">
      <c r="A168" t="s">
        <v>72</v>
      </c>
      <c r="B168">
        <v>2025</v>
      </c>
      <c r="C168">
        <v>3</v>
      </c>
      <c r="D168" t="s">
        <v>91</v>
      </c>
      <c r="E168" t="s">
        <v>95</v>
      </c>
      <c r="F168" t="s">
        <v>78</v>
      </c>
      <c r="H168" t="s">
        <v>51</v>
      </c>
      <c r="I168" t="s">
        <v>33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2</v>
      </c>
      <c r="S168" t="s">
        <v>38</v>
      </c>
      <c r="T168" t="s">
        <v>39</v>
      </c>
      <c r="V168" t="s">
        <v>40</v>
      </c>
      <c r="W168" t="s">
        <v>41</v>
      </c>
      <c r="X168" t="s">
        <v>43</v>
      </c>
      <c r="Y168" t="s">
        <v>44</v>
      </c>
      <c r="Z168">
        <v>37849.599999999999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25">
      <c r="A169" t="s">
        <v>72</v>
      </c>
      <c r="B169">
        <v>2025</v>
      </c>
      <c r="C169">
        <v>3</v>
      </c>
      <c r="D169" t="s">
        <v>91</v>
      </c>
      <c r="E169" t="s">
        <v>95</v>
      </c>
      <c r="F169" t="s">
        <v>78</v>
      </c>
      <c r="H169" t="s">
        <v>51</v>
      </c>
      <c r="I169" t="s">
        <v>33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2</v>
      </c>
      <c r="S169" t="s">
        <v>38</v>
      </c>
      <c r="T169" t="s">
        <v>39</v>
      </c>
      <c r="V169" t="s">
        <v>40</v>
      </c>
      <c r="W169" t="s">
        <v>41</v>
      </c>
      <c r="X169" t="s">
        <v>43</v>
      </c>
      <c r="Y169" t="s">
        <v>44</v>
      </c>
      <c r="Z169">
        <v>37849.599999999999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25">
      <c r="A170" t="s">
        <v>72</v>
      </c>
      <c r="B170">
        <v>2025</v>
      </c>
      <c r="C170">
        <v>3</v>
      </c>
      <c r="D170" t="s">
        <v>91</v>
      </c>
      <c r="E170" t="s">
        <v>95</v>
      </c>
      <c r="F170" t="s">
        <v>79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53</v>
      </c>
      <c r="Q170" t="s">
        <v>37</v>
      </c>
      <c r="R170">
        <v>1</v>
      </c>
      <c r="S170" t="s">
        <v>38</v>
      </c>
      <c r="T170" t="s">
        <v>52</v>
      </c>
      <c r="V170" t="s">
        <v>40</v>
      </c>
      <c r="W170" t="s">
        <v>41</v>
      </c>
      <c r="X170" t="s">
        <v>43</v>
      </c>
      <c r="Y170" t="s">
        <v>44</v>
      </c>
      <c r="Z170">
        <v>5236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0.81120006249362275</v>
      </c>
    </row>
    <row r="171" spans="1:36" x14ac:dyDescent="0.25">
      <c r="A171" t="s">
        <v>72</v>
      </c>
      <c r="B171">
        <v>2025</v>
      </c>
      <c r="C171">
        <v>3</v>
      </c>
      <c r="D171" t="s">
        <v>91</v>
      </c>
      <c r="E171" t="s">
        <v>95</v>
      </c>
      <c r="F171" t="s">
        <v>79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53</v>
      </c>
      <c r="Q171" t="s">
        <v>37</v>
      </c>
      <c r="R171">
        <v>1</v>
      </c>
      <c r="S171" t="s">
        <v>38</v>
      </c>
      <c r="T171" t="s">
        <v>52</v>
      </c>
      <c r="V171" t="s">
        <v>40</v>
      </c>
      <c r="W171" t="s">
        <v>41</v>
      </c>
      <c r="X171" t="s">
        <v>43</v>
      </c>
      <c r="Y171" t="s">
        <v>44</v>
      </c>
      <c r="Z171">
        <v>5236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1.1854389984630065</v>
      </c>
    </row>
    <row r="172" spans="1:36" x14ac:dyDescent="0.25">
      <c r="A172" t="s">
        <v>72</v>
      </c>
      <c r="B172">
        <v>2025</v>
      </c>
      <c r="C172">
        <v>3</v>
      </c>
      <c r="D172" t="s">
        <v>91</v>
      </c>
      <c r="E172" t="s">
        <v>95</v>
      </c>
      <c r="F172" t="s">
        <v>79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53</v>
      </c>
      <c r="Q172" t="s">
        <v>37</v>
      </c>
      <c r="R172">
        <v>1</v>
      </c>
      <c r="S172" t="s">
        <v>38</v>
      </c>
      <c r="T172" t="s">
        <v>52</v>
      </c>
      <c r="V172" t="s">
        <v>40</v>
      </c>
      <c r="W172" t="s">
        <v>41</v>
      </c>
      <c r="X172" t="s">
        <v>43</v>
      </c>
      <c r="Y172" t="s">
        <v>44</v>
      </c>
      <c r="Z172">
        <v>5236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0.37994462713706195</v>
      </c>
    </row>
    <row r="173" spans="1:36" x14ac:dyDescent="0.25">
      <c r="A173" t="s">
        <v>72</v>
      </c>
      <c r="B173">
        <v>2025</v>
      </c>
      <c r="C173">
        <v>3</v>
      </c>
      <c r="D173" t="s">
        <v>91</v>
      </c>
      <c r="E173" t="s">
        <v>95</v>
      </c>
      <c r="F173" t="s">
        <v>79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53</v>
      </c>
      <c r="Q173" t="s">
        <v>37</v>
      </c>
      <c r="R173">
        <v>1</v>
      </c>
      <c r="S173" t="s">
        <v>38</v>
      </c>
      <c r="T173" t="s">
        <v>52</v>
      </c>
      <c r="V173" t="s">
        <v>40</v>
      </c>
      <c r="W173" t="s">
        <v>41</v>
      </c>
      <c r="X173" t="s">
        <v>43</v>
      </c>
      <c r="Y173" t="s">
        <v>44</v>
      </c>
      <c r="Z173">
        <v>5236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4.4072011405387084</v>
      </c>
    </row>
    <row r="174" spans="1:36" x14ac:dyDescent="0.25">
      <c r="A174" t="s">
        <v>72</v>
      </c>
      <c r="B174">
        <v>2025</v>
      </c>
      <c r="C174">
        <v>3</v>
      </c>
      <c r="D174" t="s">
        <v>91</v>
      </c>
      <c r="E174" t="s">
        <v>95</v>
      </c>
      <c r="F174" t="s">
        <v>79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53</v>
      </c>
      <c r="Q174" t="s">
        <v>37</v>
      </c>
      <c r="R174">
        <v>1</v>
      </c>
      <c r="S174" t="s">
        <v>38</v>
      </c>
      <c r="T174" t="s">
        <v>52</v>
      </c>
      <c r="V174" t="s">
        <v>40</v>
      </c>
      <c r="W174" t="s">
        <v>41</v>
      </c>
      <c r="X174" t="s">
        <v>43</v>
      </c>
      <c r="Y174" t="s">
        <v>44</v>
      </c>
      <c r="Z174">
        <v>5236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6.5263390890564237</v>
      </c>
    </row>
    <row r="175" spans="1:36" x14ac:dyDescent="0.25">
      <c r="A175" t="s">
        <v>72</v>
      </c>
      <c r="B175">
        <v>2025</v>
      </c>
      <c r="C175">
        <v>3</v>
      </c>
      <c r="D175" t="s">
        <v>91</v>
      </c>
      <c r="E175" t="s">
        <v>95</v>
      </c>
      <c r="F175" t="s">
        <v>79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53</v>
      </c>
      <c r="Q175" t="s">
        <v>37</v>
      </c>
      <c r="R175">
        <v>1</v>
      </c>
      <c r="S175" t="s">
        <v>38</v>
      </c>
      <c r="T175" t="s">
        <v>52</v>
      </c>
      <c r="V175" t="s">
        <v>40</v>
      </c>
      <c r="W175" t="s">
        <v>41</v>
      </c>
      <c r="X175" t="s">
        <v>43</v>
      </c>
      <c r="Y175" t="s">
        <v>44</v>
      </c>
      <c r="Z175">
        <v>5236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6.4716970882371356</v>
      </c>
    </row>
    <row r="176" spans="1:36" x14ac:dyDescent="0.25">
      <c r="A176" t="s">
        <v>72</v>
      </c>
      <c r="B176">
        <v>2025</v>
      </c>
      <c r="C176">
        <v>3</v>
      </c>
      <c r="D176" t="s">
        <v>91</v>
      </c>
      <c r="E176" t="s">
        <v>95</v>
      </c>
      <c r="F176" t="s">
        <v>79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53</v>
      </c>
      <c r="Q176" t="s">
        <v>37</v>
      </c>
      <c r="R176">
        <v>1</v>
      </c>
      <c r="S176" t="s">
        <v>38</v>
      </c>
      <c r="T176" t="s">
        <v>52</v>
      </c>
      <c r="V176" t="s">
        <v>40</v>
      </c>
      <c r="W176" t="s">
        <v>41</v>
      </c>
      <c r="X176" t="s">
        <v>43</v>
      </c>
      <c r="Y176" t="s">
        <v>44</v>
      </c>
      <c r="Z176">
        <v>5236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9.3493450869427086</v>
      </c>
    </row>
    <row r="177" spans="1:36" x14ac:dyDescent="0.25">
      <c r="A177" t="s">
        <v>72</v>
      </c>
      <c r="B177">
        <v>2025</v>
      </c>
      <c r="C177">
        <v>3</v>
      </c>
      <c r="D177" t="s">
        <v>91</v>
      </c>
      <c r="E177" t="s">
        <v>95</v>
      </c>
      <c r="F177" t="s">
        <v>79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53</v>
      </c>
      <c r="Q177" t="s">
        <v>37</v>
      </c>
      <c r="R177">
        <v>1</v>
      </c>
      <c r="S177" t="s">
        <v>38</v>
      </c>
      <c r="T177" t="s">
        <v>52</v>
      </c>
      <c r="V177" t="s">
        <v>40</v>
      </c>
      <c r="W177" t="s">
        <v>41</v>
      </c>
      <c r="X177" t="s">
        <v>43</v>
      </c>
      <c r="Y177" t="s">
        <v>44</v>
      </c>
      <c r="Z177">
        <v>5236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25">
      <c r="A178" t="s">
        <v>72</v>
      </c>
      <c r="B178">
        <v>2025</v>
      </c>
      <c r="C178">
        <v>3</v>
      </c>
      <c r="D178" t="s">
        <v>91</v>
      </c>
      <c r="E178" t="s">
        <v>95</v>
      </c>
      <c r="F178" t="s">
        <v>79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53</v>
      </c>
      <c r="Q178" t="s">
        <v>37</v>
      </c>
      <c r="R178">
        <v>1</v>
      </c>
      <c r="S178" t="s">
        <v>38</v>
      </c>
      <c r="T178" t="s">
        <v>52</v>
      </c>
      <c r="V178" t="s">
        <v>40</v>
      </c>
      <c r="W178" t="s">
        <v>41</v>
      </c>
      <c r="X178" t="s">
        <v>43</v>
      </c>
      <c r="Y178" t="s">
        <v>44</v>
      </c>
      <c r="Z178">
        <v>5236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25">
      <c r="A179" t="s">
        <v>72</v>
      </c>
      <c r="B179">
        <v>2025</v>
      </c>
      <c r="C179">
        <v>3</v>
      </c>
      <c r="D179" t="s">
        <v>91</v>
      </c>
      <c r="E179" t="s">
        <v>95</v>
      </c>
      <c r="F179" t="s">
        <v>79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53</v>
      </c>
      <c r="Q179" t="s">
        <v>37</v>
      </c>
      <c r="R179">
        <v>1</v>
      </c>
      <c r="S179" t="s">
        <v>38</v>
      </c>
      <c r="T179" t="s">
        <v>52</v>
      </c>
      <c r="V179" t="s">
        <v>40</v>
      </c>
      <c r="W179" t="s">
        <v>41</v>
      </c>
      <c r="X179" t="s">
        <v>43</v>
      </c>
      <c r="Y179" t="s">
        <v>44</v>
      </c>
      <c r="Z179">
        <v>5236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25">
      <c r="A180" t="s">
        <v>72</v>
      </c>
      <c r="B180">
        <v>2025</v>
      </c>
      <c r="C180">
        <v>3</v>
      </c>
      <c r="D180" t="s">
        <v>91</v>
      </c>
      <c r="E180" t="s">
        <v>95</v>
      </c>
      <c r="F180" t="s">
        <v>79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53</v>
      </c>
      <c r="Q180" t="s">
        <v>37</v>
      </c>
      <c r="R180">
        <v>1</v>
      </c>
      <c r="S180" t="s">
        <v>38</v>
      </c>
      <c r="T180" t="s">
        <v>52</v>
      </c>
      <c r="V180" t="s">
        <v>40</v>
      </c>
      <c r="W180" t="s">
        <v>41</v>
      </c>
      <c r="X180" t="s">
        <v>43</v>
      </c>
      <c r="Y180" t="s">
        <v>44</v>
      </c>
      <c r="Z180">
        <v>5236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25">
      <c r="A181" t="s">
        <v>72</v>
      </c>
      <c r="B181">
        <v>2025</v>
      </c>
      <c r="C181">
        <v>3</v>
      </c>
      <c r="D181" t="s">
        <v>91</v>
      </c>
      <c r="E181" t="s">
        <v>95</v>
      </c>
      <c r="F181" t="s">
        <v>79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53</v>
      </c>
      <c r="Q181" t="s">
        <v>37</v>
      </c>
      <c r="R181">
        <v>1</v>
      </c>
      <c r="S181" t="s">
        <v>38</v>
      </c>
      <c r="T181" t="s">
        <v>52</v>
      </c>
      <c r="V181" t="s">
        <v>40</v>
      </c>
      <c r="W181" t="s">
        <v>41</v>
      </c>
      <c r="X181" t="s">
        <v>43</v>
      </c>
      <c r="Y181" t="s">
        <v>44</v>
      </c>
      <c r="Z181">
        <v>5236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25">
      <c r="A182" t="s">
        <v>72</v>
      </c>
      <c r="B182">
        <v>2025</v>
      </c>
      <c r="C182">
        <v>3</v>
      </c>
      <c r="D182" t="s">
        <v>91</v>
      </c>
      <c r="E182" t="s">
        <v>95</v>
      </c>
      <c r="F182" t="s">
        <v>79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53</v>
      </c>
      <c r="Q182" t="s">
        <v>37</v>
      </c>
      <c r="R182">
        <v>1</v>
      </c>
      <c r="S182" t="s">
        <v>38</v>
      </c>
      <c r="T182" t="s">
        <v>52</v>
      </c>
      <c r="V182" t="s">
        <v>40</v>
      </c>
      <c r="W182" t="s">
        <v>41</v>
      </c>
      <c r="X182" t="s">
        <v>43</v>
      </c>
      <c r="Y182" t="s">
        <v>44</v>
      </c>
      <c r="Z182">
        <v>5236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25">
      <c r="A183" t="s">
        <v>72</v>
      </c>
      <c r="B183">
        <v>2025</v>
      </c>
      <c r="C183">
        <v>3</v>
      </c>
      <c r="D183" t="s">
        <v>91</v>
      </c>
      <c r="E183" t="s">
        <v>95</v>
      </c>
      <c r="F183" t="s">
        <v>79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53</v>
      </c>
      <c r="Q183" t="s">
        <v>37</v>
      </c>
      <c r="R183">
        <v>1</v>
      </c>
      <c r="S183" t="s">
        <v>38</v>
      </c>
      <c r="T183" t="s">
        <v>52</v>
      </c>
      <c r="V183" t="s">
        <v>40</v>
      </c>
      <c r="W183" t="s">
        <v>41</v>
      </c>
      <c r="X183" t="s">
        <v>43</v>
      </c>
      <c r="Y183" t="s">
        <v>44</v>
      </c>
      <c r="Z183">
        <v>5236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25">
      <c r="A184" t="s">
        <v>72</v>
      </c>
      <c r="B184">
        <v>2025</v>
      </c>
      <c r="C184">
        <v>3</v>
      </c>
      <c r="D184" t="s">
        <v>91</v>
      </c>
      <c r="E184" t="s">
        <v>95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47</v>
      </c>
      <c r="R184">
        <v>2024</v>
      </c>
      <c r="S184" t="s">
        <v>38</v>
      </c>
      <c r="T184" t="s">
        <v>39</v>
      </c>
      <c r="V184" t="s">
        <v>40</v>
      </c>
      <c r="W184" t="s">
        <v>41</v>
      </c>
      <c r="X184" t="s">
        <v>43</v>
      </c>
      <c r="Y184" t="s">
        <v>44</v>
      </c>
      <c r="Z184">
        <v>12569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39.519277463109866</v>
      </c>
    </row>
    <row r="185" spans="1:36" x14ac:dyDescent="0.25">
      <c r="A185" t="s">
        <v>72</v>
      </c>
      <c r="B185">
        <v>2025</v>
      </c>
      <c r="C185">
        <v>3</v>
      </c>
      <c r="D185" t="s">
        <v>91</v>
      </c>
      <c r="E185" t="s">
        <v>95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47</v>
      </c>
      <c r="R185">
        <v>2024</v>
      </c>
      <c r="S185" t="s">
        <v>38</v>
      </c>
      <c r="T185" t="s">
        <v>39</v>
      </c>
      <c r="V185" t="s">
        <v>40</v>
      </c>
      <c r="W185" t="s">
        <v>41</v>
      </c>
      <c r="X185" t="s">
        <v>43</v>
      </c>
      <c r="Y185" t="s">
        <v>44</v>
      </c>
      <c r="Z185">
        <v>12569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57.751096014269493</v>
      </c>
    </row>
    <row r="186" spans="1:36" x14ac:dyDescent="0.25">
      <c r="A186" t="s">
        <v>72</v>
      </c>
      <c r="B186">
        <v>2025</v>
      </c>
      <c r="C186">
        <v>3</v>
      </c>
      <c r="D186" t="s">
        <v>91</v>
      </c>
      <c r="E186" t="s">
        <v>95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47</v>
      </c>
      <c r="R186">
        <v>2024</v>
      </c>
      <c r="S186" t="s">
        <v>38</v>
      </c>
      <c r="T186" t="s">
        <v>39</v>
      </c>
      <c r="V186" t="s">
        <v>40</v>
      </c>
      <c r="W186" t="s">
        <v>41</v>
      </c>
      <c r="X186" t="s">
        <v>43</v>
      </c>
      <c r="Y186" t="s">
        <v>44</v>
      </c>
      <c r="Z186">
        <v>12569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18.509783017386557</v>
      </c>
    </row>
    <row r="187" spans="1:36" x14ac:dyDescent="0.25">
      <c r="A187" t="s">
        <v>72</v>
      </c>
      <c r="B187">
        <v>2025</v>
      </c>
      <c r="C187">
        <v>3</v>
      </c>
      <c r="D187" t="s">
        <v>91</v>
      </c>
      <c r="E187" t="s">
        <v>95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47</v>
      </c>
      <c r="R187">
        <v>2024</v>
      </c>
      <c r="S187" t="s">
        <v>38</v>
      </c>
      <c r="T187" t="s">
        <v>39</v>
      </c>
      <c r="V187" t="s">
        <v>40</v>
      </c>
      <c r="W187" t="s">
        <v>41</v>
      </c>
      <c r="X187" t="s">
        <v>43</v>
      </c>
      <c r="Y187" t="s">
        <v>44</v>
      </c>
      <c r="Z187">
        <v>12569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214.70585711407375</v>
      </c>
    </row>
    <row r="188" spans="1:36" x14ac:dyDescent="0.25">
      <c r="A188" t="s">
        <v>72</v>
      </c>
      <c r="B188">
        <v>2025</v>
      </c>
      <c r="C188">
        <v>3</v>
      </c>
      <c r="D188" t="s">
        <v>91</v>
      </c>
      <c r="E188" t="s">
        <v>95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47</v>
      </c>
      <c r="R188">
        <v>2024</v>
      </c>
      <c r="S188" t="s">
        <v>38</v>
      </c>
      <c r="T188" t="s">
        <v>39</v>
      </c>
      <c r="V188" t="s">
        <v>40</v>
      </c>
      <c r="W188" t="s">
        <v>41</v>
      </c>
      <c r="X188" t="s">
        <v>43</v>
      </c>
      <c r="Y188" t="s">
        <v>44</v>
      </c>
      <c r="Z188">
        <v>12569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317.94401554399303</v>
      </c>
    </row>
    <row r="189" spans="1:36" x14ac:dyDescent="0.25">
      <c r="A189" t="s">
        <v>72</v>
      </c>
      <c r="B189">
        <v>2025</v>
      </c>
      <c r="C189">
        <v>3</v>
      </c>
      <c r="D189" t="s">
        <v>91</v>
      </c>
      <c r="E189" t="s">
        <v>95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47</v>
      </c>
      <c r="R189">
        <v>2024</v>
      </c>
      <c r="S189" t="s">
        <v>38</v>
      </c>
      <c r="T189" t="s">
        <v>39</v>
      </c>
      <c r="V189" t="s">
        <v>40</v>
      </c>
      <c r="W189" t="s">
        <v>41</v>
      </c>
      <c r="X189" t="s">
        <v>43</v>
      </c>
      <c r="Y189" t="s">
        <v>44</v>
      </c>
      <c r="Z189">
        <v>12569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315.28201822500995</v>
      </c>
    </row>
    <row r="190" spans="1:36" x14ac:dyDescent="0.25">
      <c r="A190" t="s">
        <v>72</v>
      </c>
      <c r="B190">
        <v>2025</v>
      </c>
      <c r="C190">
        <v>3</v>
      </c>
      <c r="D190" t="s">
        <v>91</v>
      </c>
      <c r="E190" t="s">
        <v>95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47</v>
      </c>
      <c r="R190">
        <v>2024</v>
      </c>
      <c r="S190" t="s">
        <v>38</v>
      </c>
      <c r="T190" t="s">
        <v>39</v>
      </c>
      <c r="V190" t="s">
        <v>40</v>
      </c>
      <c r="W190" t="s">
        <v>41</v>
      </c>
      <c r="X190" t="s">
        <v>43</v>
      </c>
      <c r="Y190" t="s">
        <v>44</v>
      </c>
      <c r="Z190">
        <v>12569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455.4725519293911</v>
      </c>
    </row>
    <row r="191" spans="1:36" x14ac:dyDescent="0.25">
      <c r="A191" t="s">
        <v>72</v>
      </c>
      <c r="B191">
        <v>2025</v>
      </c>
      <c r="C191">
        <v>3</v>
      </c>
      <c r="D191" t="s">
        <v>91</v>
      </c>
      <c r="E191" t="s">
        <v>95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47</v>
      </c>
      <c r="R191">
        <v>2024</v>
      </c>
      <c r="S191" t="s">
        <v>38</v>
      </c>
      <c r="T191" t="s">
        <v>39</v>
      </c>
      <c r="V191" t="s">
        <v>40</v>
      </c>
      <c r="W191" t="s">
        <v>41</v>
      </c>
      <c r="X191" t="s">
        <v>43</v>
      </c>
      <c r="Y191" t="s">
        <v>44</v>
      </c>
      <c r="Z191">
        <v>12569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25">
      <c r="A192" t="s">
        <v>72</v>
      </c>
      <c r="B192">
        <v>2025</v>
      </c>
      <c r="C192">
        <v>3</v>
      </c>
      <c r="D192" t="s">
        <v>91</v>
      </c>
      <c r="E192" t="s">
        <v>95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47</v>
      </c>
      <c r="R192">
        <v>2024</v>
      </c>
      <c r="S192" t="s">
        <v>38</v>
      </c>
      <c r="T192" t="s">
        <v>39</v>
      </c>
      <c r="V192" t="s">
        <v>40</v>
      </c>
      <c r="W192" t="s">
        <v>41</v>
      </c>
      <c r="X192" t="s">
        <v>43</v>
      </c>
      <c r="Y192" t="s">
        <v>44</v>
      </c>
      <c r="Z192">
        <v>12569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25">
      <c r="A193" t="s">
        <v>72</v>
      </c>
      <c r="B193">
        <v>2025</v>
      </c>
      <c r="C193">
        <v>3</v>
      </c>
      <c r="D193" t="s">
        <v>91</v>
      </c>
      <c r="E193" t="s">
        <v>95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47</v>
      </c>
      <c r="R193">
        <v>2024</v>
      </c>
      <c r="S193" t="s">
        <v>38</v>
      </c>
      <c r="T193" t="s">
        <v>39</v>
      </c>
      <c r="V193" t="s">
        <v>40</v>
      </c>
      <c r="W193" t="s">
        <v>41</v>
      </c>
      <c r="X193" t="s">
        <v>43</v>
      </c>
      <c r="Y193" t="s">
        <v>44</v>
      </c>
      <c r="Z193">
        <v>12569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25">
      <c r="A194" t="s">
        <v>72</v>
      </c>
      <c r="B194">
        <v>2025</v>
      </c>
      <c r="C194">
        <v>3</v>
      </c>
      <c r="D194" t="s">
        <v>91</v>
      </c>
      <c r="E194" t="s">
        <v>95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47</v>
      </c>
      <c r="R194">
        <v>2024</v>
      </c>
      <c r="S194" t="s">
        <v>38</v>
      </c>
      <c r="T194" t="s">
        <v>39</v>
      </c>
      <c r="V194" t="s">
        <v>40</v>
      </c>
      <c r="W194" t="s">
        <v>41</v>
      </c>
      <c r="X194" t="s">
        <v>43</v>
      </c>
      <c r="Y194" t="s">
        <v>44</v>
      </c>
      <c r="Z194">
        <v>12569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25">
      <c r="A195" t="s">
        <v>72</v>
      </c>
      <c r="B195">
        <v>2025</v>
      </c>
      <c r="C195">
        <v>3</v>
      </c>
      <c r="D195" t="s">
        <v>91</v>
      </c>
      <c r="E195" t="s">
        <v>95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47</v>
      </c>
      <c r="R195">
        <v>2024</v>
      </c>
      <c r="S195" t="s">
        <v>38</v>
      </c>
      <c r="T195" t="s">
        <v>39</v>
      </c>
      <c r="V195" t="s">
        <v>40</v>
      </c>
      <c r="W195" t="s">
        <v>41</v>
      </c>
      <c r="X195" t="s">
        <v>43</v>
      </c>
      <c r="Y195" t="s">
        <v>44</v>
      </c>
      <c r="Z195">
        <v>12569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25">
      <c r="A196" t="s">
        <v>72</v>
      </c>
      <c r="B196">
        <v>2025</v>
      </c>
      <c r="C196">
        <v>3</v>
      </c>
      <c r="D196" t="s">
        <v>91</v>
      </c>
      <c r="E196" t="s">
        <v>95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47</v>
      </c>
      <c r="R196">
        <v>2024</v>
      </c>
      <c r="S196" t="s">
        <v>38</v>
      </c>
      <c r="T196" t="s">
        <v>39</v>
      </c>
      <c r="V196" t="s">
        <v>40</v>
      </c>
      <c r="W196" t="s">
        <v>41</v>
      </c>
      <c r="X196" t="s">
        <v>43</v>
      </c>
      <c r="Y196" t="s">
        <v>44</v>
      </c>
      <c r="Z196">
        <v>12569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25">
      <c r="A197" t="s">
        <v>72</v>
      </c>
      <c r="B197">
        <v>2025</v>
      </c>
      <c r="C197">
        <v>3</v>
      </c>
      <c r="D197" t="s">
        <v>91</v>
      </c>
      <c r="E197" t="s">
        <v>95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47</v>
      </c>
      <c r="R197">
        <v>2024</v>
      </c>
      <c r="S197" t="s">
        <v>38</v>
      </c>
      <c r="T197" t="s">
        <v>39</v>
      </c>
      <c r="V197" t="s">
        <v>40</v>
      </c>
      <c r="W197" t="s">
        <v>41</v>
      </c>
      <c r="X197" t="s">
        <v>43</v>
      </c>
      <c r="Y197" t="s">
        <v>44</v>
      </c>
      <c r="Z197">
        <v>12569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8" spans="1:36" x14ac:dyDescent="0.25">
      <c r="A198" t="s">
        <v>72</v>
      </c>
      <c r="B198">
        <v>2025</v>
      </c>
      <c r="C198">
        <v>3</v>
      </c>
      <c r="D198" t="s">
        <v>91</v>
      </c>
      <c r="E198" t="s">
        <v>95</v>
      </c>
      <c r="F198" t="s">
        <v>50</v>
      </c>
      <c r="H198" t="s">
        <v>51</v>
      </c>
      <c r="I198" t="s">
        <v>84</v>
      </c>
      <c r="J198" t="s">
        <v>32</v>
      </c>
      <c r="L198">
        <v>2024</v>
      </c>
      <c r="M198" t="s">
        <v>34</v>
      </c>
      <c r="N198" t="s">
        <v>35</v>
      </c>
      <c r="O198">
        <v>127160</v>
      </c>
      <c r="P198" t="s">
        <v>36</v>
      </c>
      <c r="Q198" t="s">
        <v>37</v>
      </c>
      <c r="R198">
        <v>1</v>
      </c>
      <c r="S198" t="s">
        <v>38</v>
      </c>
      <c r="T198" t="s">
        <v>52</v>
      </c>
      <c r="V198" t="s">
        <v>40</v>
      </c>
      <c r="W198" t="s">
        <v>41</v>
      </c>
      <c r="X198" t="s">
        <v>43</v>
      </c>
      <c r="Y198" t="s">
        <v>44</v>
      </c>
      <c r="Z198">
        <v>258</v>
      </c>
      <c r="AA198" t="s">
        <v>81</v>
      </c>
      <c r="AB198" t="s">
        <v>82</v>
      </c>
      <c r="AC198">
        <v>1</v>
      </c>
      <c r="AG198" t="s">
        <v>73</v>
      </c>
      <c r="AH198" t="s">
        <v>74</v>
      </c>
      <c r="AI198" t="s">
        <v>75</v>
      </c>
      <c r="AJ198">
        <v>16.462959407816314</v>
      </c>
    </row>
    <row r="199" spans="1:36" x14ac:dyDescent="0.25">
      <c r="A199" t="s">
        <v>72</v>
      </c>
      <c r="B199">
        <v>2025</v>
      </c>
      <c r="C199">
        <v>3</v>
      </c>
      <c r="D199" t="s">
        <v>91</v>
      </c>
      <c r="E199" t="s">
        <v>95</v>
      </c>
      <c r="F199" t="s">
        <v>50</v>
      </c>
      <c r="H199" t="s">
        <v>51</v>
      </c>
      <c r="I199" t="s">
        <v>84</v>
      </c>
      <c r="J199" t="s">
        <v>32</v>
      </c>
      <c r="L199">
        <v>2024</v>
      </c>
      <c r="M199" t="s">
        <v>34</v>
      </c>
      <c r="N199" t="s">
        <v>35</v>
      </c>
      <c r="O199">
        <v>127160</v>
      </c>
      <c r="P199" t="s">
        <v>36</v>
      </c>
      <c r="Q199" t="s">
        <v>37</v>
      </c>
      <c r="R199">
        <v>1</v>
      </c>
      <c r="S199" t="s">
        <v>38</v>
      </c>
      <c r="T199" t="s">
        <v>52</v>
      </c>
      <c r="V199" t="s">
        <v>40</v>
      </c>
      <c r="W199" t="s">
        <v>41</v>
      </c>
      <c r="X199" t="s">
        <v>43</v>
      </c>
      <c r="Y199" t="s">
        <v>44</v>
      </c>
      <c r="Z199">
        <v>258</v>
      </c>
      <c r="AA199" t="s">
        <v>81</v>
      </c>
      <c r="AB199" t="s">
        <v>82</v>
      </c>
      <c r="AC199">
        <v>2</v>
      </c>
      <c r="AG199" t="s">
        <v>73</v>
      </c>
      <c r="AH199" t="s">
        <v>74</v>
      </c>
      <c r="AI199" t="s">
        <v>75</v>
      </c>
      <c r="AJ199">
        <v>24.05797905407869</v>
      </c>
    </row>
    <row r="200" spans="1:36" x14ac:dyDescent="0.25">
      <c r="A200" t="s">
        <v>72</v>
      </c>
      <c r="B200">
        <v>2025</v>
      </c>
      <c r="C200">
        <v>3</v>
      </c>
      <c r="D200" t="s">
        <v>91</v>
      </c>
      <c r="E200" t="s">
        <v>95</v>
      </c>
      <c r="F200" t="s">
        <v>50</v>
      </c>
      <c r="H200" t="s">
        <v>51</v>
      </c>
      <c r="I200" t="s">
        <v>84</v>
      </c>
      <c r="J200" t="s">
        <v>32</v>
      </c>
      <c r="L200">
        <v>2024</v>
      </c>
      <c r="M200" t="s">
        <v>34</v>
      </c>
      <c r="N200" t="s">
        <v>35</v>
      </c>
      <c r="O200">
        <v>127160</v>
      </c>
      <c r="P200" t="s">
        <v>36</v>
      </c>
      <c r="Q200" t="s">
        <v>37</v>
      </c>
      <c r="R200">
        <v>1</v>
      </c>
      <c r="S200" t="s">
        <v>38</v>
      </c>
      <c r="T200" t="s">
        <v>52</v>
      </c>
      <c r="V200" t="s">
        <v>40</v>
      </c>
      <c r="W200" t="s">
        <v>41</v>
      </c>
      <c r="X200" t="s">
        <v>43</v>
      </c>
      <c r="Y200" t="s">
        <v>44</v>
      </c>
      <c r="Z200">
        <v>258</v>
      </c>
      <c r="AA200" t="s">
        <v>81</v>
      </c>
      <c r="AB200" t="s">
        <v>82</v>
      </c>
      <c r="AC200">
        <v>3</v>
      </c>
      <c r="AG200" t="s">
        <v>73</v>
      </c>
      <c r="AH200" t="s">
        <v>74</v>
      </c>
      <c r="AI200" t="s">
        <v>75</v>
      </c>
      <c r="AJ200">
        <v>7.7108142158513813</v>
      </c>
    </row>
    <row r="201" spans="1:36" x14ac:dyDescent="0.25">
      <c r="A201" t="s">
        <v>72</v>
      </c>
      <c r="B201">
        <v>2025</v>
      </c>
      <c r="C201">
        <v>3</v>
      </c>
      <c r="D201" t="s">
        <v>91</v>
      </c>
      <c r="E201" t="s">
        <v>95</v>
      </c>
      <c r="F201" t="s">
        <v>50</v>
      </c>
      <c r="H201" t="s">
        <v>51</v>
      </c>
      <c r="I201" t="s">
        <v>84</v>
      </c>
      <c r="J201" t="s">
        <v>32</v>
      </c>
      <c r="L201">
        <v>2024</v>
      </c>
      <c r="M201" t="s">
        <v>34</v>
      </c>
      <c r="N201" t="s">
        <v>35</v>
      </c>
      <c r="O201">
        <v>127160</v>
      </c>
      <c r="P201" t="s">
        <v>36</v>
      </c>
      <c r="Q201" t="s">
        <v>37</v>
      </c>
      <c r="R201">
        <v>1</v>
      </c>
      <c r="S201" t="s">
        <v>38</v>
      </c>
      <c r="T201" t="s">
        <v>52</v>
      </c>
      <c r="V201" t="s">
        <v>40</v>
      </c>
      <c r="W201" t="s">
        <v>41</v>
      </c>
      <c r="X201" t="s">
        <v>43</v>
      </c>
      <c r="Y201" t="s">
        <v>44</v>
      </c>
      <c r="Z201">
        <v>258</v>
      </c>
      <c r="AA201" t="s">
        <v>81</v>
      </c>
      <c r="AB201" t="s">
        <v>82</v>
      </c>
      <c r="AC201">
        <v>4</v>
      </c>
      <c r="AG201" t="s">
        <v>73</v>
      </c>
      <c r="AH201" t="s">
        <v>74</v>
      </c>
      <c r="AI201" t="s">
        <v>75</v>
      </c>
      <c r="AJ201">
        <v>89.442268107987118</v>
      </c>
    </row>
    <row r="202" spans="1:36" x14ac:dyDescent="0.25">
      <c r="A202" t="s">
        <v>72</v>
      </c>
      <c r="B202">
        <v>2025</v>
      </c>
      <c r="C202">
        <v>3</v>
      </c>
      <c r="D202" t="s">
        <v>91</v>
      </c>
      <c r="E202" t="s">
        <v>95</v>
      </c>
      <c r="F202" t="s">
        <v>50</v>
      </c>
      <c r="H202" t="s">
        <v>51</v>
      </c>
      <c r="I202" t="s">
        <v>84</v>
      </c>
      <c r="J202" t="s">
        <v>32</v>
      </c>
      <c r="L202">
        <v>2024</v>
      </c>
      <c r="M202" t="s">
        <v>34</v>
      </c>
      <c r="N202" t="s">
        <v>35</v>
      </c>
      <c r="O202">
        <v>127160</v>
      </c>
      <c r="P202" t="s">
        <v>36</v>
      </c>
      <c r="Q202" t="s">
        <v>37</v>
      </c>
      <c r="R202">
        <v>1</v>
      </c>
      <c r="S202" t="s">
        <v>38</v>
      </c>
      <c r="T202" t="s">
        <v>52</v>
      </c>
      <c r="V202" t="s">
        <v>40</v>
      </c>
      <c r="W202" t="s">
        <v>41</v>
      </c>
      <c r="X202" t="s">
        <v>43</v>
      </c>
      <c r="Y202" t="s">
        <v>44</v>
      </c>
      <c r="Z202">
        <v>258</v>
      </c>
      <c r="AA202" t="s">
        <v>81</v>
      </c>
      <c r="AB202" t="s">
        <v>82</v>
      </c>
      <c r="AC202">
        <v>5</v>
      </c>
      <c r="AG202" t="s">
        <v>73</v>
      </c>
      <c r="AH202" t="s">
        <v>74</v>
      </c>
      <c r="AI202" t="s">
        <v>75</v>
      </c>
      <c r="AJ202">
        <v>132.4492692647265</v>
      </c>
    </row>
    <row r="203" spans="1:36" x14ac:dyDescent="0.25">
      <c r="A203" t="s">
        <v>72</v>
      </c>
      <c r="B203">
        <v>2025</v>
      </c>
      <c r="C203">
        <v>3</v>
      </c>
      <c r="D203" t="s">
        <v>91</v>
      </c>
      <c r="E203" t="s">
        <v>95</v>
      </c>
      <c r="F203" t="s">
        <v>50</v>
      </c>
      <c r="H203" t="s">
        <v>51</v>
      </c>
      <c r="I203" t="s">
        <v>84</v>
      </c>
      <c r="J203" t="s">
        <v>32</v>
      </c>
      <c r="L203">
        <v>2024</v>
      </c>
      <c r="M203" t="s">
        <v>34</v>
      </c>
      <c r="N203" t="s">
        <v>35</v>
      </c>
      <c r="O203">
        <v>127160</v>
      </c>
      <c r="P203" t="s">
        <v>36</v>
      </c>
      <c r="Q203" t="s">
        <v>37</v>
      </c>
      <c r="R203">
        <v>1</v>
      </c>
      <c r="S203" t="s">
        <v>38</v>
      </c>
      <c r="T203" t="s">
        <v>52</v>
      </c>
      <c r="V203" t="s">
        <v>40</v>
      </c>
      <c r="W203" t="s">
        <v>41</v>
      </c>
      <c r="X203" t="s">
        <v>43</v>
      </c>
      <c r="Y203" t="s">
        <v>44</v>
      </c>
      <c r="Z203">
        <v>258</v>
      </c>
      <c r="AA203" t="s">
        <v>81</v>
      </c>
      <c r="AB203" t="s">
        <v>82</v>
      </c>
      <c r="AC203">
        <v>6</v>
      </c>
      <c r="AG203" t="s">
        <v>73</v>
      </c>
      <c r="AH203" t="s">
        <v>74</v>
      </c>
      <c r="AI203" t="s">
        <v>75</v>
      </c>
      <c r="AJ203">
        <v>131.34033315507614</v>
      </c>
    </row>
    <row r="204" spans="1:36" x14ac:dyDescent="0.25">
      <c r="A204" t="s">
        <v>72</v>
      </c>
      <c r="B204">
        <v>2025</v>
      </c>
      <c r="C204">
        <v>3</v>
      </c>
      <c r="D204" t="s">
        <v>91</v>
      </c>
      <c r="E204" t="s">
        <v>95</v>
      </c>
      <c r="F204" t="s">
        <v>50</v>
      </c>
      <c r="H204" t="s">
        <v>51</v>
      </c>
      <c r="I204" t="s">
        <v>84</v>
      </c>
      <c r="J204" t="s">
        <v>32</v>
      </c>
      <c r="L204">
        <v>2024</v>
      </c>
      <c r="M204" t="s">
        <v>34</v>
      </c>
      <c r="N204" t="s">
        <v>35</v>
      </c>
      <c r="O204">
        <v>127160</v>
      </c>
      <c r="P204" t="s">
        <v>36</v>
      </c>
      <c r="Q204" t="s">
        <v>37</v>
      </c>
      <c r="R204">
        <v>1</v>
      </c>
      <c r="S204" t="s">
        <v>38</v>
      </c>
      <c r="T204" t="s">
        <v>52</v>
      </c>
      <c r="V204" t="s">
        <v>40</v>
      </c>
      <c r="W204" t="s">
        <v>41</v>
      </c>
      <c r="X204" t="s">
        <v>43</v>
      </c>
      <c r="Y204" t="s">
        <v>44</v>
      </c>
      <c r="Z204">
        <v>258</v>
      </c>
      <c r="AA204" t="s">
        <v>81</v>
      </c>
      <c r="AB204" t="s">
        <v>82</v>
      </c>
      <c r="AC204">
        <v>7</v>
      </c>
      <c r="AG204" t="s">
        <v>73</v>
      </c>
      <c r="AH204" t="s">
        <v>74</v>
      </c>
      <c r="AI204" t="s">
        <v>75</v>
      </c>
      <c r="AJ204">
        <v>189.74097238462022</v>
      </c>
    </row>
    <row r="205" spans="1:36" x14ac:dyDescent="0.25">
      <c r="A205" t="s">
        <v>72</v>
      </c>
      <c r="B205">
        <v>2025</v>
      </c>
      <c r="C205">
        <v>3</v>
      </c>
      <c r="D205" t="s">
        <v>91</v>
      </c>
      <c r="E205" t="s">
        <v>95</v>
      </c>
      <c r="F205" t="s">
        <v>50</v>
      </c>
      <c r="H205" t="s">
        <v>51</v>
      </c>
      <c r="I205" t="s">
        <v>84</v>
      </c>
      <c r="J205" t="s">
        <v>32</v>
      </c>
      <c r="L205">
        <v>2024</v>
      </c>
      <c r="M205" t="s">
        <v>34</v>
      </c>
      <c r="N205" t="s">
        <v>35</v>
      </c>
      <c r="O205">
        <v>127160</v>
      </c>
      <c r="P205" t="s">
        <v>36</v>
      </c>
      <c r="Q205" t="s">
        <v>37</v>
      </c>
      <c r="R205">
        <v>1</v>
      </c>
      <c r="S205" t="s">
        <v>38</v>
      </c>
      <c r="T205" t="s">
        <v>52</v>
      </c>
      <c r="V205" t="s">
        <v>40</v>
      </c>
      <c r="W205" t="s">
        <v>41</v>
      </c>
      <c r="X205" t="s">
        <v>43</v>
      </c>
      <c r="Y205" t="s">
        <v>44</v>
      </c>
      <c r="Z205">
        <v>258</v>
      </c>
      <c r="AA205" t="s">
        <v>81</v>
      </c>
      <c r="AB205" t="s">
        <v>82</v>
      </c>
      <c r="AC205">
        <v>1</v>
      </c>
      <c r="AG205" t="s">
        <v>43</v>
      </c>
      <c r="AH205" t="s">
        <v>44</v>
      </c>
      <c r="AI205" t="s">
        <v>77</v>
      </c>
      <c r="AJ205">
        <v>5.4675291723273898E-3</v>
      </c>
    </row>
    <row r="206" spans="1:36" x14ac:dyDescent="0.25">
      <c r="A206" t="s">
        <v>72</v>
      </c>
      <c r="B206">
        <v>2025</v>
      </c>
      <c r="C206">
        <v>3</v>
      </c>
      <c r="D206" t="s">
        <v>91</v>
      </c>
      <c r="E206" t="s">
        <v>95</v>
      </c>
      <c r="F206" t="s">
        <v>50</v>
      </c>
      <c r="H206" t="s">
        <v>51</v>
      </c>
      <c r="I206" t="s">
        <v>84</v>
      </c>
      <c r="J206" t="s">
        <v>32</v>
      </c>
      <c r="L206">
        <v>2024</v>
      </c>
      <c r="M206" t="s">
        <v>34</v>
      </c>
      <c r="N206" t="s">
        <v>35</v>
      </c>
      <c r="O206">
        <v>127160</v>
      </c>
      <c r="P206" t="s">
        <v>36</v>
      </c>
      <c r="Q206" t="s">
        <v>37</v>
      </c>
      <c r="R206">
        <v>1</v>
      </c>
      <c r="S206" t="s">
        <v>38</v>
      </c>
      <c r="T206" t="s">
        <v>52</v>
      </c>
      <c r="V206" t="s">
        <v>40</v>
      </c>
      <c r="W206" t="s">
        <v>41</v>
      </c>
      <c r="X206" t="s">
        <v>43</v>
      </c>
      <c r="Y206" t="s">
        <v>44</v>
      </c>
      <c r="Z206">
        <v>258</v>
      </c>
      <c r="AA206" t="s">
        <v>81</v>
      </c>
      <c r="AB206" t="s">
        <v>82</v>
      </c>
      <c r="AC206">
        <v>2</v>
      </c>
      <c r="AG206" t="s">
        <v>43</v>
      </c>
      <c r="AH206" t="s">
        <v>44</v>
      </c>
      <c r="AI206" t="s">
        <v>77</v>
      </c>
      <c r="AJ206">
        <v>6.1144567118772992E-3</v>
      </c>
    </row>
    <row r="207" spans="1:36" x14ac:dyDescent="0.25">
      <c r="A207" t="s">
        <v>72</v>
      </c>
      <c r="B207">
        <v>2025</v>
      </c>
      <c r="C207">
        <v>3</v>
      </c>
      <c r="D207" t="s">
        <v>91</v>
      </c>
      <c r="E207" t="s">
        <v>95</v>
      </c>
      <c r="F207" t="s">
        <v>50</v>
      </c>
      <c r="H207" t="s">
        <v>51</v>
      </c>
      <c r="I207" t="s">
        <v>84</v>
      </c>
      <c r="J207" t="s">
        <v>32</v>
      </c>
      <c r="L207">
        <v>2024</v>
      </c>
      <c r="M207" t="s">
        <v>34</v>
      </c>
      <c r="N207" t="s">
        <v>35</v>
      </c>
      <c r="O207">
        <v>127160</v>
      </c>
      <c r="P207" t="s">
        <v>36</v>
      </c>
      <c r="Q207" t="s">
        <v>37</v>
      </c>
      <c r="R207">
        <v>1</v>
      </c>
      <c r="S207" t="s">
        <v>38</v>
      </c>
      <c r="T207" t="s">
        <v>52</v>
      </c>
      <c r="V207" t="s">
        <v>40</v>
      </c>
      <c r="W207" t="s">
        <v>41</v>
      </c>
      <c r="X207" t="s">
        <v>43</v>
      </c>
      <c r="Y207" t="s">
        <v>44</v>
      </c>
      <c r="Z207">
        <v>258</v>
      </c>
      <c r="AA207" t="s">
        <v>81</v>
      </c>
      <c r="AB207" t="s">
        <v>82</v>
      </c>
      <c r="AC207">
        <v>3</v>
      </c>
      <c r="AG207" t="s">
        <v>43</v>
      </c>
      <c r="AH207" t="s">
        <v>44</v>
      </c>
      <c r="AI207" t="s">
        <v>77</v>
      </c>
      <c r="AJ207">
        <v>6.9160162542765101E-3</v>
      </c>
    </row>
    <row r="208" spans="1:36" x14ac:dyDescent="0.25">
      <c r="A208" t="s">
        <v>72</v>
      </c>
      <c r="B208">
        <v>2025</v>
      </c>
      <c r="C208">
        <v>3</v>
      </c>
      <c r="D208" t="s">
        <v>91</v>
      </c>
      <c r="E208" t="s">
        <v>95</v>
      </c>
      <c r="F208" t="s">
        <v>50</v>
      </c>
      <c r="H208" t="s">
        <v>51</v>
      </c>
      <c r="I208" t="s">
        <v>84</v>
      </c>
      <c r="J208" t="s">
        <v>32</v>
      </c>
      <c r="L208">
        <v>2024</v>
      </c>
      <c r="M208" t="s">
        <v>34</v>
      </c>
      <c r="N208" t="s">
        <v>35</v>
      </c>
      <c r="O208">
        <v>127160</v>
      </c>
      <c r="P208" t="s">
        <v>36</v>
      </c>
      <c r="Q208" t="s">
        <v>37</v>
      </c>
      <c r="R208">
        <v>1</v>
      </c>
      <c r="S208" t="s">
        <v>38</v>
      </c>
      <c r="T208" t="s">
        <v>52</v>
      </c>
      <c r="V208" t="s">
        <v>40</v>
      </c>
      <c r="W208" t="s">
        <v>41</v>
      </c>
      <c r="X208" t="s">
        <v>43</v>
      </c>
      <c r="Y208" t="s">
        <v>44</v>
      </c>
      <c r="Z208">
        <v>258</v>
      </c>
      <c r="AA208" t="s">
        <v>81</v>
      </c>
      <c r="AB208" t="s">
        <v>82</v>
      </c>
      <c r="AC208">
        <v>4</v>
      </c>
      <c r="AG208" t="s">
        <v>43</v>
      </c>
      <c r="AH208" t="s">
        <v>44</v>
      </c>
      <c r="AI208" t="s">
        <v>77</v>
      </c>
      <c r="AJ208">
        <v>7.4743746738224134E-3</v>
      </c>
    </row>
    <row r="209" spans="1:36" x14ac:dyDescent="0.25">
      <c r="A209" t="s">
        <v>72</v>
      </c>
      <c r="B209">
        <v>2025</v>
      </c>
      <c r="C209">
        <v>3</v>
      </c>
      <c r="D209" t="s">
        <v>91</v>
      </c>
      <c r="E209" t="s">
        <v>95</v>
      </c>
      <c r="F209" t="s">
        <v>50</v>
      </c>
      <c r="H209" t="s">
        <v>51</v>
      </c>
      <c r="I209" t="s">
        <v>84</v>
      </c>
      <c r="J209" t="s">
        <v>32</v>
      </c>
      <c r="L209">
        <v>2024</v>
      </c>
      <c r="M209" t="s">
        <v>34</v>
      </c>
      <c r="N209" t="s">
        <v>35</v>
      </c>
      <c r="O209">
        <v>127160</v>
      </c>
      <c r="P209" t="s">
        <v>36</v>
      </c>
      <c r="Q209" t="s">
        <v>37</v>
      </c>
      <c r="R209">
        <v>1</v>
      </c>
      <c r="S209" t="s">
        <v>38</v>
      </c>
      <c r="T209" t="s">
        <v>52</v>
      </c>
      <c r="V209" t="s">
        <v>40</v>
      </c>
      <c r="W209" t="s">
        <v>41</v>
      </c>
      <c r="X209" t="s">
        <v>43</v>
      </c>
      <c r="Y209" t="s">
        <v>44</v>
      </c>
      <c r="Z209">
        <v>258</v>
      </c>
      <c r="AA209" t="s">
        <v>81</v>
      </c>
      <c r="AB209" t="s">
        <v>82</v>
      </c>
      <c r="AC209">
        <v>5</v>
      </c>
      <c r="AG209" t="s">
        <v>43</v>
      </c>
      <c r="AH209" t="s">
        <v>44</v>
      </c>
      <c r="AI209" t="s">
        <v>77</v>
      </c>
      <c r="AJ209">
        <v>8.3492896233372631E-3</v>
      </c>
    </row>
    <row r="210" spans="1:36" x14ac:dyDescent="0.25">
      <c r="A210" t="s">
        <v>72</v>
      </c>
      <c r="B210">
        <v>2025</v>
      </c>
      <c r="C210">
        <v>3</v>
      </c>
      <c r="D210" t="s">
        <v>91</v>
      </c>
      <c r="E210" t="s">
        <v>95</v>
      </c>
      <c r="F210" t="s">
        <v>50</v>
      </c>
      <c r="H210" t="s">
        <v>51</v>
      </c>
      <c r="I210" t="s">
        <v>84</v>
      </c>
      <c r="J210" t="s">
        <v>32</v>
      </c>
      <c r="L210">
        <v>2024</v>
      </c>
      <c r="M210" t="s">
        <v>34</v>
      </c>
      <c r="N210" t="s">
        <v>35</v>
      </c>
      <c r="O210">
        <v>127160</v>
      </c>
      <c r="P210" t="s">
        <v>36</v>
      </c>
      <c r="Q210" t="s">
        <v>37</v>
      </c>
      <c r="R210">
        <v>1</v>
      </c>
      <c r="S210" t="s">
        <v>38</v>
      </c>
      <c r="T210" t="s">
        <v>52</v>
      </c>
      <c r="V210" t="s">
        <v>40</v>
      </c>
      <c r="W210" t="s">
        <v>41</v>
      </c>
      <c r="X210" t="s">
        <v>43</v>
      </c>
      <c r="Y210" t="s">
        <v>44</v>
      </c>
      <c r="Z210">
        <v>258</v>
      </c>
      <c r="AA210" t="s">
        <v>81</v>
      </c>
      <c r="AB210" t="s">
        <v>82</v>
      </c>
      <c r="AC210">
        <v>6</v>
      </c>
      <c r="AG210" t="s">
        <v>43</v>
      </c>
      <c r="AH210" t="s">
        <v>44</v>
      </c>
      <c r="AI210" t="s">
        <v>77</v>
      </c>
      <c r="AJ210">
        <v>9.8292469555517105E-3</v>
      </c>
    </row>
    <row r="211" spans="1:36" x14ac:dyDescent="0.25">
      <c r="A211" t="s">
        <v>72</v>
      </c>
      <c r="B211">
        <v>2025</v>
      </c>
      <c r="C211">
        <v>3</v>
      </c>
      <c r="D211" t="s">
        <v>91</v>
      </c>
      <c r="E211" t="s">
        <v>95</v>
      </c>
      <c r="F211" t="s">
        <v>50</v>
      </c>
      <c r="H211" t="s">
        <v>51</v>
      </c>
      <c r="I211" t="s">
        <v>84</v>
      </c>
      <c r="J211" t="s">
        <v>32</v>
      </c>
      <c r="L211">
        <v>2024</v>
      </c>
      <c r="M211" t="s">
        <v>34</v>
      </c>
      <c r="N211" t="s">
        <v>35</v>
      </c>
      <c r="O211">
        <v>127160</v>
      </c>
      <c r="P211" t="s">
        <v>36</v>
      </c>
      <c r="Q211" t="s">
        <v>37</v>
      </c>
      <c r="R211">
        <v>1</v>
      </c>
      <c r="S211" t="s">
        <v>38</v>
      </c>
      <c r="T211" t="s">
        <v>52</v>
      </c>
      <c r="V211" t="s">
        <v>40</v>
      </c>
      <c r="W211" t="s">
        <v>41</v>
      </c>
      <c r="X211" t="s">
        <v>43</v>
      </c>
      <c r="Y211" t="s">
        <v>44</v>
      </c>
      <c r="Z211">
        <v>258</v>
      </c>
      <c r="AA211" t="s">
        <v>81</v>
      </c>
      <c r="AB211" t="s">
        <v>82</v>
      </c>
      <c r="AC211">
        <v>7</v>
      </c>
      <c r="AG211" t="s">
        <v>43</v>
      </c>
      <c r="AH211" t="s">
        <v>44</v>
      </c>
      <c r="AI211" t="s">
        <v>77</v>
      </c>
      <c r="AJ211">
        <v>9.9092977904625713E-3</v>
      </c>
    </row>
    <row r="214" spans="1:36" s="2" customFormat="1" x14ac:dyDescent="0.25">
      <c r="A214" s="6" t="s">
        <v>0</v>
      </c>
      <c r="B214" s="6" t="s">
        <v>8</v>
      </c>
      <c r="C214" s="6" t="s">
        <v>1</v>
      </c>
      <c r="D214" s="6" t="s">
        <v>2</v>
      </c>
      <c r="E214" s="6" t="s">
        <v>61</v>
      </c>
      <c r="F214" s="6" t="s">
        <v>62</v>
      </c>
      <c r="G214" s="6" t="s">
        <v>63</v>
      </c>
      <c r="H214" s="6" t="s">
        <v>11</v>
      </c>
      <c r="I214" s="6" t="s">
        <v>12</v>
      </c>
      <c r="J214" s="6" t="s">
        <v>56</v>
      </c>
      <c r="K214" s="6" t="s">
        <v>55</v>
      </c>
      <c r="L214" s="6" t="s">
        <v>29</v>
      </c>
    </row>
    <row r="215" spans="1:36" s="5" customFormat="1" x14ac:dyDescent="0.25">
      <c r="A215" t="s">
        <v>80</v>
      </c>
      <c r="B215">
        <v>2025</v>
      </c>
      <c r="C215">
        <v>1</v>
      </c>
      <c r="D215" t="s">
        <v>91</v>
      </c>
      <c r="E215" t="s">
        <v>90</v>
      </c>
      <c r="F215" t="s">
        <v>50</v>
      </c>
      <c r="G215" t="s">
        <v>34</v>
      </c>
      <c r="H215" t="s">
        <v>35</v>
      </c>
      <c r="I215">
        <v>127160</v>
      </c>
      <c r="J215" t="s">
        <v>60</v>
      </c>
      <c r="K215" t="s">
        <v>73</v>
      </c>
    </row>
    <row r="216" spans="1:36" s="5" customFormat="1" x14ac:dyDescent="0.25">
      <c r="A216" t="s">
        <v>80</v>
      </c>
      <c r="B216">
        <v>2025</v>
      </c>
      <c r="C216">
        <v>1</v>
      </c>
      <c r="D216" t="s">
        <v>91</v>
      </c>
      <c r="E216" t="s">
        <v>90</v>
      </c>
      <c r="F216" t="s">
        <v>78</v>
      </c>
      <c r="G216" t="s">
        <v>34</v>
      </c>
      <c r="H216" t="s">
        <v>35</v>
      </c>
      <c r="I216">
        <v>127160</v>
      </c>
      <c r="J216" t="s">
        <v>60</v>
      </c>
      <c r="K216" t="s">
        <v>73</v>
      </c>
    </row>
    <row r="217" spans="1:36" x14ac:dyDescent="0.25">
      <c r="A217" t="s">
        <v>80</v>
      </c>
      <c r="B217">
        <v>2025</v>
      </c>
      <c r="C217">
        <v>1</v>
      </c>
      <c r="D217" t="s">
        <v>91</v>
      </c>
      <c r="E217" t="s">
        <v>90</v>
      </c>
      <c r="F217" t="s">
        <v>79</v>
      </c>
      <c r="G217" t="s">
        <v>34</v>
      </c>
      <c r="H217" t="s">
        <v>35</v>
      </c>
      <c r="I217">
        <v>127160</v>
      </c>
      <c r="J217" t="s">
        <v>60</v>
      </c>
      <c r="K217" t="s">
        <v>73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74D3-6A2E-45DA-8C5C-283029208C79}">
  <dimension ref="A1:G5"/>
  <sheetViews>
    <sheetView zoomScale="90" zoomScaleNormal="90" workbookViewId="0">
      <selection activeCell="D14" sqref="D14"/>
    </sheetView>
  </sheetViews>
  <sheetFormatPr defaultRowHeight="15" x14ac:dyDescent="0.25"/>
  <cols>
    <col min="1" max="1" width="12.28515625" customWidth="1"/>
    <col min="2" max="2" width="37" customWidth="1"/>
    <col min="3" max="3" width="39.5703125" customWidth="1"/>
    <col min="4" max="4" width="31" customWidth="1"/>
    <col min="5" max="5" width="28.140625" customWidth="1"/>
    <col min="6" max="6" width="42.140625" customWidth="1"/>
    <col min="7" max="7" width="34.7109375" bestFit="1" customWidth="1"/>
  </cols>
  <sheetData>
    <row r="1" spans="1:7" x14ac:dyDescent="0.25">
      <c r="A1" s="11" t="s">
        <v>1</v>
      </c>
      <c r="B1" s="11" t="s">
        <v>2</v>
      </c>
      <c r="C1" s="11" t="s">
        <v>92</v>
      </c>
      <c r="D1" s="11" t="s">
        <v>3</v>
      </c>
      <c r="E1" s="15" t="s">
        <v>93</v>
      </c>
      <c r="F1" s="15"/>
      <c r="G1" s="11" t="s">
        <v>61</v>
      </c>
    </row>
    <row r="2" spans="1:7" x14ac:dyDescent="0.25">
      <c r="A2" s="12"/>
      <c r="B2" s="12"/>
      <c r="C2" s="12"/>
      <c r="D2" s="12"/>
      <c r="E2" s="8" t="s">
        <v>36</v>
      </c>
      <c r="F2" s="8" t="s">
        <v>53</v>
      </c>
      <c r="G2" s="12"/>
    </row>
    <row r="3" spans="1:7" ht="45" x14ac:dyDescent="0.25">
      <c r="A3" s="9">
        <v>1</v>
      </c>
      <c r="B3" s="9" t="s">
        <v>31</v>
      </c>
      <c r="C3" s="10" t="s">
        <v>107</v>
      </c>
      <c r="D3" s="9" t="s">
        <v>49</v>
      </c>
      <c r="E3" s="9" t="s">
        <v>104</v>
      </c>
      <c r="F3" s="10" t="s">
        <v>105</v>
      </c>
      <c r="G3" s="9" t="s">
        <v>49</v>
      </c>
    </row>
    <row r="4" spans="1:7" ht="28.9" customHeight="1" x14ac:dyDescent="0.25">
      <c r="A4" s="9">
        <v>2</v>
      </c>
      <c r="B4" s="9" t="s">
        <v>97</v>
      </c>
      <c r="C4" s="10" t="s">
        <v>108</v>
      </c>
      <c r="D4" s="9" t="s">
        <v>90</v>
      </c>
      <c r="E4" s="13" t="s">
        <v>94</v>
      </c>
      <c r="F4" s="14"/>
      <c r="G4" s="9" t="s">
        <v>49</v>
      </c>
    </row>
    <row r="5" spans="1:7" ht="30" x14ac:dyDescent="0.25">
      <c r="A5" s="9">
        <v>3</v>
      </c>
      <c r="B5" s="9" t="s">
        <v>91</v>
      </c>
      <c r="C5" s="9" t="s">
        <v>94</v>
      </c>
      <c r="D5" s="9" t="s">
        <v>49</v>
      </c>
      <c r="E5" s="9" t="s">
        <v>104</v>
      </c>
      <c r="F5" s="10" t="s">
        <v>106</v>
      </c>
      <c r="G5" s="9" t="s">
        <v>95</v>
      </c>
    </row>
  </sheetData>
  <mergeCells count="7">
    <mergeCell ref="G1:G2"/>
    <mergeCell ref="E4:F4"/>
    <mergeCell ref="E1:F1"/>
    <mergeCell ref="A1:A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FF0B65-802B-40A4-A61D-B1FCE4F49D2E}">
  <ds:schemaRefs>
    <ds:schemaRef ds:uri="9a657112-7d30-43e0-84e9-071e428c6b6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A0B7BC-E4D7-4E7B-BB81-FF3198B40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651DB0-5FAF-4211-84FC-7318E0F4F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fc779b-f538-40f6-84d8-558ceb9d1abd}" enabled="0" method="" siteId="{3cfc779b-f538-40f6-84d8-558ceb9d1a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CAR_CAS_BMS</vt:lpstr>
      <vt:lpstr>DAR_DAS_BMS</vt:lpstr>
      <vt:lpstr>CAR_CAS_version1</vt:lpstr>
      <vt:lpstr>DAR_DAS_version1</vt:lpstr>
      <vt:lpstr>CAR_CAS_version2</vt:lpstr>
      <vt:lpstr>DAR_DAS_version2</vt:lpstr>
      <vt:lpstr>CAR_CAS_version3</vt:lpstr>
      <vt:lpstr>DAR_DAS_version3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Damian Villagra Villanueva</cp:lastModifiedBy>
  <dcterms:created xsi:type="dcterms:W3CDTF">2026-09-28T13:31:04Z</dcterms:created>
  <dcterms:modified xsi:type="dcterms:W3CDTF">2026-10-22T08:19:24Z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