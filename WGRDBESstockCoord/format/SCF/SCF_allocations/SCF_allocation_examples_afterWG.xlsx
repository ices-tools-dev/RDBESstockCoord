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sit.sharepoint.com/sites/ExpertGroup/WGRDBES-StockCoord/2026 Meeting Documents/04. Working documents/Allocations/Sofie/"/>
    </mc:Choice>
  </mc:AlternateContent>
  <xr:revisionPtr revIDLastSave="1599" documentId="8_{3780A521-E696-48DA-9003-7A103FEA9527}" xr6:coauthVersionLast="47" xr6:coauthVersionMax="47" xr10:uidLastSave="{36901B56-2657-4018-84E1-25D09FD2B908}"/>
  <bookViews>
    <workbookView xWindow="-108" yWindow="-108" windowWidth="23256" windowHeight="12456" tabRatio="768" activeTab="1" xr2:uid="{A0D2DF42-8E1C-4B88-A2CC-43A0C7F57BBB}"/>
  </bookViews>
  <sheets>
    <sheet name="CAR_CAS_BMS" sheetId="13" r:id="rId1"/>
    <sheet name="DAR_DAS_BMS" sheetId="14" r:id="rId2"/>
    <sheet name="CAR_CAS_version1" sheetId="1" r:id="rId3"/>
    <sheet name="DAR_DAS_version1" sheetId="3" r:id="rId4"/>
    <sheet name="CAR_CAS_version2" sheetId="8" r:id="rId5"/>
    <sheet name="DAR_DAS_version2" sheetId="9" r:id="rId6"/>
    <sheet name="CAR_CAS_version3" sheetId="10" r:id="rId7"/>
    <sheet name="DAR_DAS_version3" sheetId="11" r:id="rId8"/>
    <sheet name="overview" sheetId="12" r:id="rId9"/>
  </sheets>
  <definedNames>
    <definedName name="_xlnm._FilterDatabase" localSheetId="0" hidden="1">CAR_CAS_BMS!$A$23:$Z$26</definedName>
    <definedName name="_xlnm._FilterDatabase" localSheetId="2" hidden="1">CAR_CAS_version1!$A$17:$Z$19</definedName>
    <definedName name="_xlnm._FilterDatabase" localSheetId="4" hidden="1">CAR_CAS_version2!$A$17:$AC$18</definedName>
    <definedName name="_xlnm._FilterDatabase" localSheetId="6" hidden="1">CAR_CAS_version3!$A$18:$Z$20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6" i="13" l="1"/>
  <c r="Z37" i="13"/>
  <c r="Z28" i="13"/>
  <c r="V28" i="13"/>
  <c r="Z24" i="13"/>
  <c r="V24" i="13"/>
  <c r="Z27" i="13"/>
  <c r="Z26" i="13"/>
  <c r="Z25" i="13"/>
  <c r="Z21" i="10"/>
  <c r="Z20" i="10"/>
  <c r="Z19" i="10"/>
  <c r="AC19" i="8"/>
  <c r="AC18" i="8"/>
  <c r="Z20" i="1"/>
  <c r="Z19" i="1"/>
  <c r="Z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tc={4E9FB83C-9AB7-4993-A8FC-D3A796D7644B}</author>
    <author>tc={5C3DE19D-8140-4BF4-8715-A26FE39936C0}</author>
  </authors>
  <commentList>
    <comment ref="N23" authorId="0" shapeId="0" xr:uid="{4E9FB83C-9AB7-4993-A8FC-D3A796D7644B}">
      <text>
        <t>[Threaded comment]
Your version of Excel allows you to read this threaded comment; however, any edits to it will get removed if the file is opened in a newer version of Excel. Learn more: https://go.microsoft.com/fwlink/?linkid=870924
Comment:
    Lan is not possible here</t>
      </text>
    </comment>
    <comment ref="N32" authorId="1" shapeId="0" xr:uid="{5C3DE19D-8140-4BF4-8715-A26FE39936C0}">
      <text>
        <t>[Threaded comment]
Your version of Excel allows you to read this threaded comment; however, any edits to it will get removed if the file is opened in a newer version of Excel. Learn more: https://go.microsoft.com/fwlink/?linkid=870924
Comment:
    Lan is not possible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tc={71025504-CAD6-4B9F-B7F8-597BB9A11189}</author>
  </authors>
  <commentList>
    <comment ref="N17" authorId="0" shapeId="0" xr:uid="{71025504-CAD6-4B9F-B7F8-597BB9A11189}">
      <text>
        <t>[Threaded comment]
Your version of Excel allows you to read this threaded comment; however, any edits to it will get removed if the file is opened in a newer version of Excel. Learn more: https://go.microsoft.com/fwlink/?linkid=870924
Comment:
    Lan is not possible here</t>
      </text>
    </comment>
  </commentList>
</comments>
</file>

<file path=xl/sharedStrings.xml><?xml version="1.0" encoding="utf-8"?>
<sst xmlns="http://schemas.openxmlformats.org/spreadsheetml/2006/main" count="19626" uniqueCount="109">
  <si>
    <t>recordType</t>
  </si>
  <si>
    <t>version</t>
  </si>
  <si>
    <t>versionDescription</t>
  </si>
  <si>
    <t>catchAllocationSchemeName</t>
  </si>
  <si>
    <t>catchAllocationGroupName</t>
  </si>
  <si>
    <t>imported</t>
  </si>
  <si>
    <t>vesselFlagCountry</t>
  </si>
  <si>
    <t>calendarYear</t>
  </si>
  <si>
    <t>workingGroupYear</t>
  </si>
  <si>
    <t>year</t>
  </si>
  <si>
    <t>workingGroup</t>
  </si>
  <si>
    <t>stock</t>
  </si>
  <si>
    <t>speciesCode</t>
  </si>
  <si>
    <t>catchCategory</t>
  </si>
  <si>
    <t>seasonType</t>
  </si>
  <si>
    <t>seasonValue</t>
  </si>
  <si>
    <t>areaType</t>
  </si>
  <si>
    <t>areaValue</t>
  </si>
  <si>
    <t>fisheriesManagementUnit</t>
  </si>
  <si>
    <t>fleetType</t>
  </si>
  <si>
    <t>fleetValue</t>
  </si>
  <si>
    <t>originType</t>
  </si>
  <si>
    <t>variableType</t>
  </si>
  <si>
    <t>variableUnit</t>
  </si>
  <si>
    <t>total</t>
  </si>
  <si>
    <t>variance</t>
  </si>
  <si>
    <t>PSU</t>
  </si>
  <si>
    <t>numPSUs</t>
  </si>
  <si>
    <t>numTrips</t>
  </si>
  <si>
    <t>comment</t>
  </si>
  <si>
    <t>CAR</t>
  </si>
  <si>
    <t>stock_annex</t>
  </si>
  <si>
    <t>Y</t>
  </si>
  <si>
    <t>GB-ENG</t>
  </si>
  <si>
    <t>WGCSE</t>
  </si>
  <si>
    <t>sol.27.7fg</t>
  </si>
  <si>
    <t>Dis</t>
  </si>
  <si>
    <t>Quarter</t>
  </si>
  <si>
    <t>ICESArea</t>
  </si>
  <si>
    <t>27.7.f</t>
  </si>
  <si>
    <t>Fleet</t>
  </si>
  <si>
    <t>TBB_DEF_70-99_0_0_all</t>
  </si>
  <si>
    <t>WGEstimate</t>
  </si>
  <si>
    <t>WeightLive</t>
  </si>
  <si>
    <t>kg</t>
  </si>
  <si>
    <t>fishingtrip</t>
  </si>
  <si>
    <t>BE</t>
  </si>
  <si>
    <t>Year</t>
  </si>
  <si>
    <t>27.7.f;27.7.g</t>
  </si>
  <si>
    <t>2025_stock_annex</t>
  </si>
  <si>
    <t>G1</t>
  </si>
  <si>
    <t>N</t>
  </si>
  <si>
    <t>27.7.g</t>
  </si>
  <si>
    <t>Lan</t>
  </si>
  <si>
    <t>weightingCategory</t>
  </si>
  <si>
    <t>weightingParameter</t>
  </si>
  <si>
    <t>averagingMethod</t>
  </si>
  <si>
    <t>weightingTotal</t>
  </si>
  <si>
    <t>rate</t>
  </si>
  <si>
    <t>CAS</t>
  </si>
  <si>
    <t>weighted</t>
  </si>
  <si>
    <t>distributionAllocationSchemeName</t>
  </si>
  <si>
    <t>distributionAllocationGroupName</t>
  </si>
  <si>
    <t xml:space="preserve">workingGroup </t>
  </si>
  <si>
    <t>distributionType</t>
  </si>
  <si>
    <t>distributionUnit</t>
  </si>
  <si>
    <t>distributionClass</t>
  </si>
  <si>
    <t>ageGroupPlus</t>
  </si>
  <si>
    <t>attributeType</t>
  </si>
  <si>
    <t>attibuteValue</t>
  </si>
  <si>
    <t>value</t>
  </si>
  <si>
    <t>numMeasurements</t>
  </si>
  <si>
    <t>DAR</t>
  </si>
  <si>
    <t>Number</t>
  </si>
  <si>
    <t>NE3</t>
  </si>
  <si>
    <t>Total</t>
  </si>
  <si>
    <t>fishing trip</t>
  </si>
  <si>
    <t>Mean</t>
  </si>
  <si>
    <t>G2</t>
  </si>
  <si>
    <t>G3</t>
  </si>
  <si>
    <t>DAS</t>
  </si>
  <si>
    <t>Age</t>
  </si>
  <si>
    <t>y</t>
  </si>
  <si>
    <t>startDateYear</t>
  </si>
  <si>
    <t>IR</t>
  </si>
  <si>
    <t>totalvariableType</t>
  </si>
  <si>
    <t>totalvariableUnit</t>
  </si>
  <si>
    <t>distributionvariableType</t>
  </si>
  <si>
    <t>distributionvalueType</t>
  </si>
  <si>
    <t>only apply country specific samples where possible</t>
  </si>
  <si>
    <t>2025_stock_annex_adjusted</t>
  </si>
  <si>
    <t>2023 GB-ENG samples</t>
  </si>
  <si>
    <t>CAR/CAS</t>
  </si>
  <si>
    <t>DAR/DAS</t>
  </si>
  <si>
    <t>same as version 1</t>
  </si>
  <si>
    <t>2025_stock_annex_adjusted with 2023</t>
  </si>
  <si>
    <t>G2; G3</t>
  </si>
  <si>
    <t>country specific samples where possible</t>
  </si>
  <si>
    <t>catchAllocationGroupNameTarget</t>
  </si>
  <si>
    <t>catchAllocationGroupNameSource</t>
  </si>
  <si>
    <t>distributionAllocationGroupNameTarget</t>
  </si>
  <si>
    <t>distributionAllocationGroupNameSource</t>
  </si>
  <si>
    <t>BMS</t>
  </si>
  <si>
    <t>G1; G2</t>
  </si>
  <si>
    <t>All with BE distribution</t>
  </si>
  <si>
    <t>GB-ENG strata with  BE and  IR distribution; 
IR strata with IR distribution</t>
  </si>
  <si>
    <t>GB-ENG strata with GB-ENG 2023 distribution; 
IR strata with IR distribution</t>
  </si>
  <si>
    <t>GB-ENG strata  with GB-ENG and BE samples;
 IR strata with IR samples</t>
  </si>
  <si>
    <t>GB-ENG strata  with GB-ENG samples;
 IR strata with IR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</si>
</sst>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9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0" fillId="4" borderId="0" xfId="0" applyFill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4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fie Nimmegeers" id="{16D01560-AE82-43F6-A520-F0869FAE75A0}" userId="S::Sofie.Nimmegeers@ilvo.vlaanderen.be::b83f35a6-47f4-4e7f-9f98-5f9a8d083a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3" dT="2026-10-02T08:20:05.72" personId="{16D01560-AE82-43F6-A520-F0869FAE75A0}" id="{4E9FB83C-9AB7-4993-A8FC-D3A796D7644B}">
    <text>Lan is not possible here</text>
  </threadedComment>
  <threadedComment ref="N32" dT="2026-10-02T08:20:05.72" personId="{16D01560-AE82-43F6-A520-F0869FAE75A0}" id="{5C3DE19D-8140-4BF4-8715-A26FE39936C0}">
    <text>Lan is not possible here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7" dT="2026-10-02T08:20:05.72" personId="{16D01560-AE82-43F6-A520-F0869FAE75A0}" id="{71025504-CAD6-4B9F-B7F8-597BB9A11189}">
    <text>Lan is not possible here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06F2-3898-4EB5-ADA3-D6DB1C696AD1}">
  <sheetPr>
    <tabColor rgb="FFFFC000"/>
  </sheetPr>
  <dimension ref="A1:AE37"/>
  <sheetViews>
    <sheetView topLeftCell="E1" zoomScale="70" zoomScaleNormal="70" workbookViewId="0">
      <selection activeCell="J1" sqref="J1"/>
    </sheetView>
  </sheetViews>
  <sheetFormatPr defaultRowHeight="14.4" x14ac:dyDescent="0.3"/>
  <cols>
    <col min="1" max="1" width="16.5546875" customWidth="1"/>
    <col min="2" max="2" width="30.88671875" customWidth="1"/>
    <col min="3" max="3" width="11" customWidth="1"/>
    <col min="4" max="4" width="47.109375" customWidth="1"/>
    <col min="5" max="5" width="38.5546875" customWidth="1"/>
    <col min="6" max="6" width="41.6640625" customWidth="1"/>
    <col min="7" max="7" width="44.44140625" customWidth="1"/>
    <col min="8" max="8" width="31.6640625" customWidth="1"/>
    <col min="9" max="9" width="33.6640625" customWidth="1"/>
    <col min="10" max="10" width="31.88671875" customWidth="1"/>
    <col min="11" max="12" width="22.33203125" customWidth="1"/>
    <col min="13" max="13" width="18.33203125" customWidth="1"/>
    <col min="14" max="14" width="24.5546875" customWidth="1"/>
    <col min="15" max="15" width="18.6640625" bestFit="1" customWidth="1"/>
    <col min="16" max="16" width="12.44140625" customWidth="1"/>
    <col min="17" max="17" width="16.33203125" bestFit="1" customWidth="1"/>
    <col min="18" max="18" width="14" bestFit="1" customWidth="1"/>
    <col min="19" max="19" width="21" customWidth="1"/>
    <col min="20" max="20" width="28.109375" customWidth="1"/>
    <col min="21" max="21" width="31" bestFit="1" customWidth="1"/>
    <col min="22" max="22" width="26.44140625" bestFit="1" customWidth="1"/>
    <col min="23" max="23" width="39.6640625" bestFit="1" customWidth="1"/>
    <col min="24" max="24" width="39.6640625" customWidth="1"/>
    <col min="25" max="25" width="39.6640625" bestFit="1" customWidth="1"/>
    <col min="26" max="26" width="39.6640625" customWidth="1"/>
    <col min="27" max="27" width="39.6640625" bestFit="1" customWidth="1"/>
    <col min="28" max="28" width="37.33203125" customWidth="1"/>
    <col min="29" max="29" width="19.5546875" bestFit="1" customWidth="1"/>
    <col min="30" max="30" width="17" customWidth="1"/>
    <col min="31" max="31" width="21.6640625" customWidth="1"/>
    <col min="32" max="32" width="12.6640625" bestFit="1" customWidth="1"/>
    <col min="33" max="33" width="12.5546875" bestFit="1" customWidth="1"/>
    <col min="34" max="34" width="14.109375" customWidth="1"/>
    <col min="35" max="35" width="23.109375" bestFit="1" customWidth="1"/>
    <col min="36" max="36" width="24.5546875" bestFit="1" customWidth="1"/>
    <col min="37" max="37" width="27.44140625" customWidth="1"/>
    <col min="38" max="38" width="21.88671875" customWidth="1"/>
    <col min="39" max="39" width="23" customWidth="1"/>
    <col min="40" max="40" width="12.6640625" bestFit="1" customWidth="1"/>
    <col min="41" max="41" width="11.44140625" customWidth="1"/>
  </cols>
  <sheetData>
    <row r="1" spans="1:31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>
        <v>2025</v>
      </c>
      <c r="C2">
        <v>1</v>
      </c>
      <c r="D2" t="s">
        <v>31</v>
      </c>
      <c r="G2" t="s">
        <v>103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102</v>
      </c>
      <c r="Q2" t="s">
        <v>37</v>
      </c>
      <c r="R2">
        <v>1</v>
      </c>
      <c r="S2" t="s">
        <v>38</v>
      </c>
      <c r="T2" t="s">
        <v>52</v>
      </c>
      <c r="V2" t="s">
        <v>40</v>
      </c>
      <c r="W2" t="s">
        <v>41</v>
      </c>
      <c r="X2" t="s">
        <v>43</v>
      </c>
      <c r="Y2" t="s">
        <v>44</v>
      </c>
      <c r="Z2">
        <v>456</v>
      </c>
      <c r="AB2" t="s">
        <v>45</v>
      </c>
      <c r="AC2">
        <v>3</v>
      </c>
      <c r="AD2">
        <v>3</v>
      </c>
    </row>
    <row r="3" spans="1:31" x14ac:dyDescent="0.3">
      <c r="A3" t="s">
        <v>30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33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37</v>
      </c>
      <c r="R3">
        <v>1</v>
      </c>
      <c r="S3" t="s">
        <v>38</v>
      </c>
      <c r="T3" t="s">
        <v>39</v>
      </c>
      <c r="V3" t="s">
        <v>40</v>
      </c>
      <c r="W3" t="s">
        <v>41</v>
      </c>
      <c r="X3" t="s">
        <v>43</v>
      </c>
      <c r="Y3" t="s">
        <v>44</v>
      </c>
      <c r="Z3">
        <v>5998.7539999999999</v>
      </c>
      <c r="AB3" t="s">
        <v>45</v>
      </c>
      <c r="AC3">
        <v>2</v>
      </c>
      <c r="AD3">
        <v>2</v>
      </c>
    </row>
    <row r="4" spans="1:31" x14ac:dyDescent="0.3">
      <c r="A4" t="s">
        <v>30</v>
      </c>
      <c r="B4">
        <v>2025</v>
      </c>
      <c r="C4">
        <v>1</v>
      </c>
      <c r="D4" t="s">
        <v>31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B4" t="s">
        <v>45</v>
      </c>
      <c r="AC4">
        <v>8</v>
      </c>
      <c r="AD4">
        <v>8</v>
      </c>
    </row>
    <row r="5" spans="1:31" x14ac:dyDescent="0.3">
      <c r="A5" t="s">
        <v>30</v>
      </c>
      <c r="B5">
        <v>2025</v>
      </c>
      <c r="C5">
        <v>1</v>
      </c>
      <c r="D5" t="s">
        <v>31</v>
      </c>
      <c r="G5" t="s">
        <v>78</v>
      </c>
      <c r="H5" t="s">
        <v>32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39</v>
      </c>
      <c r="V5" t="s">
        <v>40</v>
      </c>
      <c r="W5" t="s">
        <v>41</v>
      </c>
      <c r="X5" t="s">
        <v>43</v>
      </c>
      <c r="Y5" t="s">
        <v>44</v>
      </c>
      <c r="Z5">
        <v>12569</v>
      </c>
      <c r="AB5" t="s">
        <v>45</v>
      </c>
      <c r="AC5">
        <v>12</v>
      </c>
      <c r="AD5">
        <v>12</v>
      </c>
    </row>
    <row r="6" spans="1:31" x14ac:dyDescent="0.3">
      <c r="A6" t="s">
        <v>30</v>
      </c>
      <c r="B6">
        <v>2025</v>
      </c>
      <c r="C6">
        <v>1</v>
      </c>
      <c r="D6" t="s">
        <v>31</v>
      </c>
      <c r="E6" t="s">
        <v>49</v>
      </c>
      <c r="F6" t="s">
        <v>78</v>
      </c>
      <c r="H6" t="s">
        <v>51</v>
      </c>
      <c r="I6" t="s">
        <v>84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37</v>
      </c>
      <c r="R6">
        <v>1</v>
      </c>
      <c r="S6" t="s">
        <v>38</v>
      </c>
      <c r="T6" t="s">
        <v>52</v>
      </c>
      <c r="V6" t="s">
        <v>40</v>
      </c>
      <c r="W6" t="s">
        <v>41</v>
      </c>
      <c r="X6" t="s">
        <v>43</v>
      </c>
      <c r="Y6" t="s">
        <v>44</v>
      </c>
      <c r="Z6">
        <v>258</v>
      </c>
    </row>
    <row r="7" spans="1:31" x14ac:dyDescent="0.3">
      <c r="A7" t="s">
        <v>30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33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37</v>
      </c>
      <c r="R7">
        <v>1</v>
      </c>
      <c r="S7" t="s">
        <v>38</v>
      </c>
      <c r="T7" t="s">
        <v>39</v>
      </c>
      <c r="V7" t="s">
        <v>40</v>
      </c>
      <c r="W7" t="s">
        <v>41</v>
      </c>
      <c r="X7" t="s">
        <v>43</v>
      </c>
      <c r="Y7" t="s">
        <v>44</v>
      </c>
      <c r="Z7">
        <v>249986.1</v>
      </c>
    </row>
    <row r="8" spans="1:31" x14ac:dyDescent="0.3">
      <c r="A8" t="s">
        <v>30</v>
      </c>
      <c r="B8">
        <v>2025</v>
      </c>
      <c r="C8">
        <v>1</v>
      </c>
      <c r="D8" t="s">
        <v>31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672669</v>
      </c>
    </row>
    <row r="9" spans="1:31" x14ac:dyDescent="0.3">
      <c r="A9" t="s">
        <v>30</v>
      </c>
      <c r="B9">
        <v>2025</v>
      </c>
      <c r="C9">
        <v>1</v>
      </c>
      <c r="D9" t="s">
        <v>31</v>
      </c>
      <c r="G9" t="s">
        <v>78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47</v>
      </c>
      <c r="R9">
        <v>2024</v>
      </c>
      <c r="S9" t="s">
        <v>38</v>
      </c>
      <c r="T9" t="s">
        <v>39</v>
      </c>
      <c r="V9" t="s">
        <v>40</v>
      </c>
      <c r="W9" t="s">
        <v>41</v>
      </c>
      <c r="X9" t="s">
        <v>43</v>
      </c>
      <c r="Y9" t="s">
        <v>44</v>
      </c>
      <c r="Z9">
        <v>210300</v>
      </c>
    </row>
    <row r="10" spans="1:31" x14ac:dyDescent="0.3">
      <c r="A10" t="s">
        <v>30</v>
      </c>
      <c r="B10">
        <v>2025</v>
      </c>
      <c r="C10">
        <v>1</v>
      </c>
      <c r="D10" t="s">
        <v>31</v>
      </c>
      <c r="H10" t="s">
        <v>32</v>
      </c>
      <c r="I10" t="s">
        <v>84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53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5236</v>
      </c>
    </row>
    <row r="11" spans="1:31" x14ac:dyDescent="0.3">
      <c r="A11" t="s">
        <v>30</v>
      </c>
      <c r="B11">
        <v>2025</v>
      </c>
      <c r="C11">
        <v>1</v>
      </c>
      <c r="D11" t="s">
        <v>31</v>
      </c>
      <c r="E11" t="s">
        <v>49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1</v>
      </c>
      <c r="S11" t="s">
        <v>38</v>
      </c>
      <c r="T11" t="s">
        <v>52</v>
      </c>
      <c r="V11" t="s">
        <v>40</v>
      </c>
      <c r="W11" t="s">
        <v>41</v>
      </c>
      <c r="X11" t="s">
        <v>43</v>
      </c>
      <c r="Y11" t="s">
        <v>44</v>
      </c>
      <c r="Z11">
        <v>523.418731364515</v>
      </c>
    </row>
    <row r="12" spans="1:31" x14ac:dyDescent="0.3">
      <c r="A12" t="s">
        <v>30</v>
      </c>
      <c r="B12">
        <v>2025</v>
      </c>
      <c r="C12">
        <v>1</v>
      </c>
      <c r="D12" t="s">
        <v>31</v>
      </c>
      <c r="E12" t="s">
        <v>49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39</v>
      </c>
      <c r="V12" t="s">
        <v>40</v>
      </c>
      <c r="W12" t="s">
        <v>41</v>
      </c>
      <c r="X12" t="s">
        <v>43</v>
      </c>
      <c r="Y12" t="s">
        <v>44</v>
      </c>
      <c r="Z12">
        <v>1819.45994532345</v>
      </c>
    </row>
    <row r="13" spans="1:31" x14ac:dyDescent="0.3">
      <c r="A13" t="s">
        <v>30</v>
      </c>
      <c r="B13">
        <v>2025</v>
      </c>
      <c r="C13">
        <v>1</v>
      </c>
      <c r="D13" t="s">
        <v>31</v>
      </c>
      <c r="E13" t="s">
        <v>49</v>
      </c>
      <c r="F13" t="s">
        <v>50</v>
      </c>
      <c r="H13" t="s">
        <v>51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37</v>
      </c>
      <c r="R13">
        <v>2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206.82454807327201</v>
      </c>
    </row>
    <row r="14" spans="1:31" x14ac:dyDescent="0.3">
      <c r="A14" t="s">
        <v>30</v>
      </c>
      <c r="B14">
        <v>2025</v>
      </c>
      <c r="C14">
        <v>1</v>
      </c>
      <c r="D14" t="s">
        <v>31</v>
      </c>
      <c r="G14" t="s">
        <v>78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1</v>
      </c>
      <c r="S14" t="s">
        <v>38</v>
      </c>
      <c r="T14" t="s">
        <v>52</v>
      </c>
      <c r="V14" t="s">
        <v>40</v>
      </c>
      <c r="W14" t="s">
        <v>41</v>
      </c>
      <c r="X14" t="s">
        <v>43</v>
      </c>
      <c r="Y14" t="s">
        <v>44</v>
      </c>
      <c r="Z14">
        <v>10888.5</v>
      </c>
    </row>
    <row r="15" spans="1:31" x14ac:dyDescent="0.3">
      <c r="A15" t="s">
        <v>30</v>
      </c>
      <c r="B15">
        <v>2025</v>
      </c>
      <c r="C15">
        <v>1</v>
      </c>
      <c r="D15" t="s">
        <v>31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39</v>
      </c>
      <c r="V15" t="s">
        <v>40</v>
      </c>
      <c r="W15" t="s">
        <v>41</v>
      </c>
      <c r="X15" t="s">
        <v>43</v>
      </c>
      <c r="Y15" t="s">
        <v>44</v>
      </c>
      <c r="Z15">
        <v>37849.599999999999</v>
      </c>
    </row>
    <row r="16" spans="1:31" x14ac:dyDescent="0.3">
      <c r="A16" t="s">
        <v>30</v>
      </c>
      <c r="B16">
        <v>2025</v>
      </c>
      <c r="C16">
        <v>1</v>
      </c>
      <c r="D16" t="s">
        <v>31</v>
      </c>
      <c r="H16" t="s">
        <v>32</v>
      </c>
      <c r="I16" t="s">
        <v>33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37</v>
      </c>
      <c r="R16">
        <v>2</v>
      </c>
      <c r="S16" t="s">
        <v>38</v>
      </c>
      <c r="T16" t="s">
        <v>52</v>
      </c>
      <c r="V16" t="s">
        <v>40</v>
      </c>
      <c r="W16" t="s">
        <v>41</v>
      </c>
      <c r="X16" t="s">
        <v>43</v>
      </c>
      <c r="Y16" t="s">
        <v>44</v>
      </c>
      <c r="Z16">
        <v>4302.5</v>
      </c>
    </row>
    <row r="23" spans="1:27" s="2" customFormat="1" x14ac:dyDescent="0.3">
      <c r="A23" s="1" t="s">
        <v>0</v>
      </c>
      <c r="B23" s="1" t="s">
        <v>8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6</v>
      </c>
      <c r="H23" s="1" t="s">
        <v>7</v>
      </c>
      <c r="I23" s="1" t="s">
        <v>83</v>
      </c>
      <c r="J23" s="1" t="s">
        <v>9</v>
      </c>
      <c r="K23" s="1" t="s">
        <v>10</v>
      </c>
      <c r="L23" s="1" t="s">
        <v>11</v>
      </c>
      <c r="M23" s="1" t="s">
        <v>12</v>
      </c>
      <c r="N23" s="1" t="s">
        <v>13</v>
      </c>
      <c r="O23" s="1" t="s">
        <v>14</v>
      </c>
      <c r="P23" s="1" t="s">
        <v>15</v>
      </c>
      <c r="Q23" s="1" t="s">
        <v>16</v>
      </c>
      <c r="R23" s="1" t="s">
        <v>17</v>
      </c>
      <c r="S23" s="1" t="s">
        <v>18</v>
      </c>
      <c r="T23" s="1" t="s">
        <v>19</v>
      </c>
      <c r="U23" s="1" t="s">
        <v>20</v>
      </c>
      <c r="V23" s="1" t="s">
        <v>58</v>
      </c>
      <c r="W23" s="1" t="s">
        <v>56</v>
      </c>
      <c r="X23" s="1" t="s">
        <v>54</v>
      </c>
      <c r="Y23" s="1" t="s">
        <v>55</v>
      </c>
      <c r="Z23" s="1" t="s">
        <v>57</v>
      </c>
      <c r="AA23" s="1" t="s">
        <v>29</v>
      </c>
    </row>
    <row r="24" spans="1:27" s="7" customFormat="1" x14ac:dyDescent="0.3">
      <c r="A24" s="7" t="s">
        <v>59</v>
      </c>
      <c r="B24" s="7">
        <v>2025</v>
      </c>
      <c r="C24" s="7">
        <v>1</v>
      </c>
      <c r="D24" s="7" t="s">
        <v>31</v>
      </c>
      <c r="E24" s="7" t="s">
        <v>49</v>
      </c>
      <c r="F24" s="7" t="s">
        <v>50</v>
      </c>
      <c r="G24" s="7" t="s">
        <v>33</v>
      </c>
      <c r="H24" s="7" t="s">
        <v>32</v>
      </c>
      <c r="J24" s="7">
        <v>2024</v>
      </c>
      <c r="K24" s="7" t="s">
        <v>34</v>
      </c>
      <c r="L24" s="7" t="s">
        <v>35</v>
      </c>
      <c r="M24" s="7">
        <v>127160</v>
      </c>
      <c r="N24" s="7" t="s">
        <v>102</v>
      </c>
      <c r="O24" s="7" t="s">
        <v>37</v>
      </c>
      <c r="P24" s="7">
        <v>1</v>
      </c>
      <c r="Q24" s="7" t="s">
        <v>38</v>
      </c>
      <c r="R24" s="7" t="s">
        <v>52</v>
      </c>
      <c r="T24" s="7" t="s">
        <v>40</v>
      </c>
      <c r="U24" s="7" t="s">
        <v>41</v>
      </c>
      <c r="V24" s="7">
        <f>Z2/Z14</f>
        <v>4.1879046700647474E-2</v>
      </c>
      <c r="W24" s="7" t="s">
        <v>60</v>
      </c>
      <c r="X24" s="7" t="s">
        <v>53</v>
      </c>
      <c r="Y24" s="7" t="s">
        <v>43</v>
      </c>
      <c r="Z24" s="7">
        <f>Z14</f>
        <v>10888.5</v>
      </c>
    </row>
    <row r="25" spans="1:27" x14ac:dyDescent="0.3">
      <c r="A25" t="s">
        <v>59</v>
      </c>
      <c r="B25">
        <v>2025</v>
      </c>
      <c r="C25">
        <v>1</v>
      </c>
      <c r="D25" t="s">
        <v>31</v>
      </c>
      <c r="E25" t="s">
        <v>49</v>
      </c>
      <c r="F25" t="s">
        <v>50</v>
      </c>
      <c r="G25" t="s">
        <v>33</v>
      </c>
      <c r="H25" t="s">
        <v>32</v>
      </c>
      <c r="J25">
        <v>2024</v>
      </c>
      <c r="K25" t="s">
        <v>34</v>
      </c>
      <c r="L25" t="s">
        <v>35</v>
      </c>
      <c r="M25">
        <v>127160</v>
      </c>
      <c r="N25" t="s">
        <v>36</v>
      </c>
      <c r="O25" t="s">
        <v>37</v>
      </c>
      <c r="P25">
        <v>1</v>
      </c>
      <c r="Q25" t="s">
        <v>38</v>
      </c>
      <c r="R25" t="s">
        <v>39</v>
      </c>
      <c r="T25" t="s">
        <v>40</v>
      </c>
      <c r="U25" t="s">
        <v>41</v>
      </c>
      <c r="V25">
        <v>2.3996350197070956E-2</v>
      </c>
      <c r="W25" t="s">
        <v>60</v>
      </c>
      <c r="X25" t="s">
        <v>53</v>
      </c>
      <c r="Y25" t="s">
        <v>43</v>
      </c>
      <c r="Z25">
        <f>SUM(Z7)</f>
        <v>249986.1</v>
      </c>
    </row>
    <row r="26" spans="1:27" x14ac:dyDescent="0.3">
      <c r="A26" t="s">
        <v>59</v>
      </c>
      <c r="B26">
        <v>2025</v>
      </c>
      <c r="C26">
        <v>1</v>
      </c>
      <c r="D26" t="s">
        <v>31</v>
      </c>
      <c r="E26" t="s">
        <v>49</v>
      </c>
      <c r="F26" t="s">
        <v>50</v>
      </c>
      <c r="G26" t="s">
        <v>46</v>
      </c>
      <c r="H26" t="s">
        <v>32</v>
      </c>
      <c r="J26">
        <v>2024</v>
      </c>
      <c r="K26" t="s">
        <v>34</v>
      </c>
      <c r="L26" t="s">
        <v>35</v>
      </c>
      <c r="M26">
        <v>127160</v>
      </c>
      <c r="N26" t="s">
        <v>36</v>
      </c>
      <c r="O26" t="s">
        <v>47</v>
      </c>
      <c r="P26">
        <v>2024</v>
      </c>
      <c r="Q26" t="s">
        <v>38</v>
      </c>
      <c r="R26" t="s">
        <v>48</v>
      </c>
      <c r="T26" t="s">
        <v>40</v>
      </c>
      <c r="U26" t="s">
        <v>41</v>
      </c>
      <c r="V26">
        <v>5.7017641663284616E-2</v>
      </c>
      <c r="W26" t="s">
        <v>60</v>
      </c>
      <c r="X26" t="s">
        <v>53</v>
      </c>
      <c r="Y26" t="s">
        <v>43</v>
      </c>
      <c r="Z26">
        <f>SUM(Z8:Z8)</f>
        <v>672669</v>
      </c>
    </row>
    <row r="27" spans="1:27" x14ac:dyDescent="0.3">
      <c r="A27" t="s">
        <v>59</v>
      </c>
      <c r="B27">
        <v>2025</v>
      </c>
      <c r="C27">
        <v>1</v>
      </c>
      <c r="D27" t="s">
        <v>31</v>
      </c>
      <c r="E27" t="s">
        <v>49</v>
      </c>
      <c r="F27" t="s">
        <v>78</v>
      </c>
      <c r="G27" t="s">
        <v>84</v>
      </c>
      <c r="H27" t="s">
        <v>32</v>
      </c>
      <c r="J27">
        <v>2024</v>
      </c>
      <c r="K27" t="s">
        <v>34</v>
      </c>
      <c r="L27" t="s">
        <v>35</v>
      </c>
      <c r="M27">
        <v>127160</v>
      </c>
      <c r="N27" t="s">
        <v>36</v>
      </c>
      <c r="O27" t="s">
        <v>47</v>
      </c>
      <c r="P27">
        <v>2024</v>
      </c>
      <c r="Q27" t="s">
        <v>38</v>
      </c>
      <c r="R27" t="s">
        <v>39</v>
      </c>
      <c r="T27" t="s">
        <v>40</v>
      </c>
      <c r="U27" t="s">
        <v>41</v>
      </c>
      <c r="V27">
        <v>5.9766999524488829E-2</v>
      </c>
      <c r="W27" t="s">
        <v>60</v>
      </c>
      <c r="X27" t="s">
        <v>53</v>
      </c>
      <c r="Y27" t="s">
        <v>43</v>
      </c>
      <c r="Z27">
        <f>Z9</f>
        <v>210300</v>
      </c>
    </row>
    <row r="28" spans="1:27" s="7" customFormat="1" x14ac:dyDescent="0.3">
      <c r="A28" s="7" t="s">
        <v>59</v>
      </c>
      <c r="B28" s="7">
        <v>2025</v>
      </c>
      <c r="C28" s="7">
        <v>1</v>
      </c>
      <c r="D28" s="7" t="s">
        <v>31</v>
      </c>
      <c r="E28" s="7" t="s">
        <v>49</v>
      </c>
      <c r="F28" s="7" t="s">
        <v>78</v>
      </c>
      <c r="G28" s="7" t="s">
        <v>33</v>
      </c>
      <c r="H28" s="7" t="s">
        <v>32</v>
      </c>
      <c r="J28" s="7">
        <v>2024</v>
      </c>
      <c r="K28" s="7" t="s">
        <v>34</v>
      </c>
      <c r="L28" s="7" t="s">
        <v>35</v>
      </c>
      <c r="M28" s="7">
        <v>127160</v>
      </c>
      <c r="N28" s="7" t="s">
        <v>102</v>
      </c>
      <c r="O28" s="7" t="s">
        <v>37</v>
      </c>
      <c r="P28" s="7">
        <v>1</v>
      </c>
      <c r="Q28" s="7" t="s">
        <v>38</v>
      </c>
      <c r="R28" s="7" t="s">
        <v>52</v>
      </c>
      <c r="T28" s="7" t="s">
        <v>40</v>
      </c>
      <c r="U28" s="7" t="s">
        <v>41</v>
      </c>
      <c r="V28" s="7">
        <f>Z2/Z14</f>
        <v>4.1879046700647474E-2</v>
      </c>
      <c r="W28" s="7" t="s">
        <v>60</v>
      </c>
      <c r="X28" s="7" t="s">
        <v>53</v>
      </c>
      <c r="Y28" s="7" t="s">
        <v>43</v>
      </c>
      <c r="Z28" s="7">
        <f>Z14</f>
        <v>10888.5</v>
      </c>
    </row>
    <row r="32" spans="1:27" s="2" customFormat="1" x14ac:dyDescent="0.3">
      <c r="A32" s="1" t="s">
        <v>0</v>
      </c>
      <c r="B32" s="1" t="s">
        <v>8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6</v>
      </c>
      <c r="H32" s="1" t="s">
        <v>7</v>
      </c>
      <c r="I32" s="1" t="s">
        <v>83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  <c r="R32" s="1" t="s">
        <v>17</v>
      </c>
      <c r="S32" s="1" t="s">
        <v>18</v>
      </c>
      <c r="T32" s="1" t="s">
        <v>19</v>
      </c>
      <c r="U32" s="1" t="s">
        <v>20</v>
      </c>
      <c r="V32" s="1" t="s">
        <v>58</v>
      </c>
      <c r="W32" s="1" t="s">
        <v>56</v>
      </c>
      <c r="X32" s="1" t="s">
        <v>54</v>
      </c>
      <c r="Y32" s="1" t="s">
        <v>55</v>
      </c>
      <c r="Z32" s="1" t="s">
        <v>57</v>
      </c>
      <c r="AA32" s="1" t="s">
        <v>29</v>
      </c>
    </row>
    <row r="33" spans="1:26" s="7" customFormat="1" x14ac:dyDescent="0.3">
      <c r="A33" s="7" t="s">
        <v>59</v>
      </c>
      <c r="B33" s="7">
        <v>2025</v>
      </c>
      <c r="C33" s="7">
        <v>1</v>
      </c>
      <c r="D33" s="7" t="s">
        <v>31</v>
      </c>
      <c r="E33" s="7" t="s">
        <v>49</v>
      </c>
      <c r="F33" s="7" t="s">
        <v>50</v>
      </c>
      <c r="G33" s="7" t="s">
        <v>33</v>
      </c>
      <c r="H33" s="7" t="s">
        <v>32</v>
      </c>
      <c r="J33" s="7">
        <v>2024</v>
      </c>
      <c r="K33" s="7" t="s">
        <v>34</v>
      </c>
      <c r="L33" s="7" t="s">
        <v>35</v>
      </c>
      <c r="M33" s="7">
        <v>127160</v>
      </c>
      <c r="N33" s="7" t="s">
        <v>102</v>
      </c>
      <c r="O33" s="7" t="s">
        <v>37</v>
      </c>
      <c r="P33" s="7">
        <v>1</v>
      </c>
      <c r="Q33" s="7" t="s">
        <v>38</v>
      </c>
      <c r="R33" s="7" t="s">
        <v>52</v>
      </c>
      <c r="T33" s="7" t="s">
        <v>40</v>
      </c>
      <c r="U33" s="7" t="s">
        <v>41</v>
      </c>
      <c r="V33" s="7">
        <v>4.1879046700647474E-2</v>
      </c>
      <c r="W33" s="7" t="s">
        <v>60</v>
      </c>
      <c r="X33" s="7" t="s">
        <v>53</v>
      </c>
      <c r="Y33" s="7" t="s">
        <v>43</v>
      </c>
      <c r="Z33" s="7">
        <v>10888.5</v>
      </c>
    </row>
    <row r="34" spans="1:26" x14ac:dyDescent="0.3">
      <c r="A34" t="s">
        <v>59</v>
      </c>
      <c r="B34">
        <v>2025</v>
      </c>
      <c r="C34">
        <v>1</v>
      </c>
      <c r="D34" t="s">
        <v>31</v>
      </c>
      <c r="E34" t="s">
        <v>49</v>
      </c>
      <c r="F34" t="s">
        <v>50</v>
      </c>
      <c r="G34" t="s">
        <v>33</v>
      </c>
      <c r="H34" t="s">
        <v>32</v>
      </c>
      <c r="J34">
        <v>2024</v>
      </c>
      <c r="K34" t="s">
        <v>34</v>
      </c>
      <c r="L34" t="s">
        <v>35</v>
      </c>
      <c r="M34">
        <v>127160</v>
      </c>
      <c r="N34" t="s">
        <v>36</v>
      </c>
      <c r="O34" t="s">
        <v>37</v>
      </c>
      <c r="P34">
        <v>1</v>
      </c>
      <c r="Q34" t="s">
        <v>38</v>
      </c>
      <c r="R34" t="s">
        <v>39</v>
      </c>
      <c r="T34" t="s">
        <v>40</v>
      </c>
      <c r="U34" t="s">
        <v>41</v>
      </c>
      <c r="V34">
        <v>2.3996350197070956E-2</v>
      </c>
      <c r="W34" t="s">
        <v>60</v>
      </c>
      <c r="X34" t="s">
        <v>53</v>
      </c>
      <c r="Y34" t="s">
        <v>43</v>
      </c>
      <c r="Z34">
        <v>249986.1</v>
      </c>
    </row>
    <row r="35" spans="1:26" x14ac:dyDescent="0.3">
      <c r="A35" t="s">
        <v>59</v>
      </c>
      <c r="B35">
        <v>2025</v>
      </c>
      <c r="C35">
        <v>1</v>
      </c>
      <c r="D35" t="s">
        <v>31</v>
      </c>
      <c r="E35" t="s">
        <v>49</v>
      </c>
      <c r="F35" t="s">
        <v>50</v>
      </c>
      <c r="G35" t="s">
        <v>46</v>
      </c>
      <c r="H35" t="s">
        <v>32</v>
      </c>
      <c r="J35">
        <v>2024</v>
      </c>
      <c r="K35" t="s">
        <v>34</v>
      </c>
      <c r="L35" t="s">
        <v>35</v>
      </c>
      <c r="M35">
        <v>127160</v>
      </c>
      <c r="N35" t="s">
        <v>36</v>
      </c>
      <c r="O35" t="s">
        <v>47</v>
      </c>
      <c r="P35">
        <v>2024</v>
      </c>
      <c r="Q35" t="s">
        <v>38</v>
      </c>
      <c r="R35" t="s">
        <v>48</v>
      </c>
      <c r="T35" t="s">
        <v>40</v>
      </c>
      <c r="U35" t="s">
        <v>41</v>
      </c>
      <c r="V35">
        <v>5.7017641663284616E-2</v>
      </c>
      <c r="W35" t="s">
        <v>60</v>
      </c>
      <c r="X35" t="s">
        <v>53</v>
      </c>
      <c r="Y35" t="s">
        <v>43</v>
      </c>
      <c r="Z35">
        <v>672669</v>
      </c>
    </row>
    <row r="36" spans="1:26" x14ac:dyDescent="0.3">
      <c r="A36" t="s">
        <v>59</v>
      </c>
      <c r="B36">
        <v>2025</v>
      </c>
      <c r="C36">
        <v>1</v>
      </c>
      <c r="D36" t="s">
        <v>31</v>
      </c>
      <c r="E36" t="s">
        <v>49</v>
      </c>
      <c r="F36" t="s">
        <v>78</v>
      </c>
      <c r="G36" t="s">
        <v>84</v>
      </c>
      <c r="H36" t="s">
        <v>32</v>
      </c>
      <c r="J36">
        <v>2024</v>
      </c>
      <c r="K36" t="s">
        <v>34</v>
      </c>
      <c r="L36" t="s">
        <v>35</v>
      </c>
      <c r="M36">
        <v>127160</v>
      </c>
      <c r="N36" t="s">
        <v>36</v>
      </c>
      <c r="O36" t="s">
        <v>47</v>
      </c>
      <c r="P36">
        <v>2024</v>
      </c>
      <c r="Q36" t="s">
        <v>38</v>
      </c>
      <c r="R36" t="s">
        <v>39</v>
      </c>
      <c r="T36" t="s">
        <v>40</v>
      </c>
      <c r="U36" t="s">
        <v>41</v>
      </c>
      <c r="V36">
        <v>5.9766999524488829E-2</v>
      </c>
      <c r="W36" t="s">
        <v>60</v>
      </c>
      <c r="X36" t="s">
        <v>36</v>
      </c>
      <c r="Y36" t="s">
        <v>43</v>
      </c>
      <c r="Z36">
        <f>Z5</f>
        <v>12569</v>
      </c>
    </row>
    <row r="37" spans="1:26" s="7" customFormat="1" x14ac:dyDescent="0.3">
      <c r="A37" s="7" t="s">
        <v>59</v>
      </c>
      <c r="B37" s="7">
        <v>2025</v>
      </c>
      <c r="C37" s="7">
        <v>1</v>
      </c>
      <c r="D37" s="7" t="s">
        <v>31</v>
      </c>
      <c r="E37" s="7" t="s">
        <v>49</v>
      </c>
      <c r="F37" s="7" t="s">
        <v>78</v>
      </c>
      <c r="G37" s="7" t="s">
        <v>33</v>
      </c>
      <c r="H37" s="7" t="s">
        <v>32</v>
      </c>
      <c r="J37" s="7">
        <v>2024</v>
      </c>
      <c r="K37" s="7" t="s">
        <v>34</v>
      </c>
      <c r="L37" s="7" t="s">
        <v>35</v>
      </c>
      <c r="M37" s="7">
        <v>127160</v>
      </c>
      <c r="N37" s="7" t="s">
        <v>102</v>
      </c>
      <c r="O37" s="7" t="s">
        <v>37</v>
      </c>
      <c r="P37" s="7">
        <v>1</v>
      </c>
      <c r="Q37" s="7" t="s">
        <v>38</v>
      </c>
      <c r="R37" s="7" t="s">
        <v>52</v>
      </c>
      <c r="T37" s="7" t="s">
        <v>40</v>
      </c>
      <c r="U37" s="7" t="s">
        <v>41</v>
      </c>
      <c r="V37" s="7">
        <v>4.1879046700647474E-2</v>
      </c>
      <c r="W37" s="7" t="s">
        <v>60</v>
      </c>
      <c r="X37" s="7" t="s">
        <v>102</v>
      </c>
      <c r="Y37" s="7" t="s">
        <v>43</v>
      </c>
      <c r="Z37" s="7">
        <f>Z2</f>
        <v>456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3DB7-3729-46A8-AD37-30B525E5F20B}">
  <sheetPr>
    <tabColor rgb="FFFFC000"/>
  </sheetPr>
  <dimension ref="A1:AZ217"/>
  <sheetViews>
    <sheetView tabSelected="1" zoomScale="60" zoomScaleNormal="60" workbookViewId="0">
      <selection activeCell="B2" sqref="B2:D2"/>
    </sheetView>
  </sheetViews>
  <sheetFormatPr defaultRowHeight="14.4" x14ac:dyDescent="0.3"/>
  <cols>
    <col min="1" max="1" width="15.109375" customWidth="1"/>
    <col min="2" max="2" width="24" customWidth="1"/>
    <col min="3" max="3" width="10.6640625" customWidth="1"/>
    <col min="4" max="4" width="34" customWidth="1"/>
    <col min="5" max="5" width="46.5546875" customWidth="1"/>
    <col min="6" max="6" width="47.33203125" customWidth="1"/>
    <col min="7" max="7" width="54" customWidth="1"/>
    <col min="8" max="8" width="30" customWidth="1"/>
    <col min="9" max="9" width="44.109375" bestFit="1" customWidth="1"/>
    <col min="10" max="10" width="22.6640625" bestFit="1" customWidth="1"/>
    <col min="11" max="11" width="25.44140625" customWidth="1"/>
    <col min="12" max="12" width="42.88671875" bestFit="1" customWidth="1"/>
    <col min="13" max="13" width="22.6640625" bestFit="1" customWidth="1"/>
    <col min="14" max="14" width="26.33203125" customWidth="1"/>
    <col min="15" max="15" width="17.44140625" bestFit="1" customWidth="1"/>
    <col min="16" max="16" width="19.33203125" bestFit="1" customWidth="1"/>
    <col min="17" max="17" width="18.6640625" bestFit="1" customWidth="1"/>
    <col min="18" max="18" width="17.6640625" bestFit="1" customWidth="1"/>
    <col min="19" max="19" width="16.6640625" bestFit="1" customWidth="1"/>
    <col min="20" max="20" width="23.88671875" customWidth="1"/>
    <col min="21" max="21" width="32.6640625" bestFit="1" customWidth="1"/>
    <col min="22" max="22" width="34.109375" customWidth="1"/>
    <col min="23" max="23" width="26.44140625" bestFit="1" customWidth="1"/>
    <col min="24" max="24" width="27.5546875" bestFit="1" customWidth="1"/>
    <col min="25" max="25" width="40.44140625" bestFit="1" customWidth="1"/>
    <col min="26" max="26" width="48" customWidth="1"/>
    <col min="27" max="27" width="40.5546875" customWidth="1"/>
    <col min="28" max="30" width="28" customWidth="1"/>
    <col min="31" max="31" width="24.6640625" customWidth="1"/>
    <col min="32" max="32" width="23.5546875" customWidth="1"/>
    <col min="33" max="33" width="18.6640625" customWidth="1"/>
    <col min="34" max="34" width="27.33203125" customWidth="1"/>
    <col min="35" max="35" width="32" bestFit="1" customWidth="1"/>
    <col min="36" max="36" width="32.44140625" customWidth="1"/>
    <col min="37" max="37" width="19.33203125" bestFit="1" customWidth="1"/>
    <col min="38" max="38" width="28.6640625" customWidth="1"/>
    <col min="39" max="39" width="13.6640625" bestFit="1" customWidth="1"/>
    <col min="40" max="40" width="12" bestFit="1" customWidth="1"/>
    <col min="41" max="41" width="16.33203125" customWidth="1"/>
    <col min="42" max="42" width="11" bestFit="1" customWidth="1"/>
    <col min="43" max="43" width="13.6640625" bestFit="1" customWidth="1"/>
    <col min="44" max="44" width="13.33203125" bestFit="1" customWidth="1"/>
    <col min="45" max="45" width="25.44140625" bestFit="1" customWidth="1"/>
    <col min="46" max="46" width="16.33203125" customWidth="1"/>
    <col min="47" max="47" width="17.88671875" bestFit="1" customWidth="1"/>
    <col min="48" max="48" width="15.33203125" bestFit="1" customWidth="1"/>
    <col min="49" max="49" width="11.33203125" bestFit="1" customWidth="1"/>
    <col min="50" max="50" width="13.109375" bestFit="1" customWidth="1"/>
    <col min="51" max="51" width="9.6640625" bestFit="1" customWidth="1"/>
    <col min="52" max="52" width="12" bestFit="1" customWidth="1"/>
  </cols>
  <sheetData>
    <row r="1" spans="1:44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3">
      <c r="A2" t="s">
        <v>72</v>
      </c>
      <c r="B2">
        <v>2025</v>
      </c>
      <c r="C2">
        <v>1</v>
      </c>
      <c r="D2" t="s">
        <v>31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3">
      <c r="A3" t="s">
        <v>72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3">
      <c r="A4" t="s">
        <v>72</v>
      </c>
      <c r="B4">
        <v>2025</v>
      </c>
      <c r="C4">
        <v>1</v>
      </c>
      <c r="D4" t="s">
        <v>31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3">
      <c r="A5" t="s">
        <v>72</v>
      </c>
      <c r="B5">
        <v>2025</v>
      </c>
      <c r="C5">
        <v>1</v>
      </c>
      <c r="D5" t="s">
        <v>31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3">
      <c r="A6" t="s">
        <v>72</v>
      </c>
      <c r="B6">
        <v>2025</v>
      </c>
      <c r="C6">
        <v>1</v>
      </c>
      <c r="D6" t="s">
        <v>31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3">
      <c r="A7" t="s">
        <v>72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3">
      <c r="A8" t="s">
        <v>72</v>
      </c>
      <c r="B8">
        <v>2025</v>
      </c>
      <c r="C8">
        <v>1</v>
      </c>
      <c r="D8" t="s">
        <v>31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3">
      <c r="A9" t="s">
        <v>72</v>
      </c>
      <c r="B9">
        <v>2025</v>
      </c>
      <c r="C9">
        <v>1</v>
      </c>
      <c r="D9" t="s">
        <v>31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3">
      <c r="A10" t="s">
        <v>72</v>
      </c>
      <c r="B10">
        <v>2025</v>
      </c>
      <c r="C10">
        <v>1</v>
      </c>
      <c r="D10" t="s">
        <v>31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3">
      <c r="A11" t="s">
        <v>72</v>
      </c>
      <c r="B11">
        <v>2025</v>
      </c>
      <c r="C11">
        <v>1</v>
      </c>
      <c r="D11" t="s">
        <v>31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3">
      <c r="A12" t="s">
        <v>72</v>
      </c>
      <c r="B12">
        <v>2025</v>
      </c>
      <c r="C12">
        <v>1</v>
      </c>
      <c r="D12" t="s">
        <v>31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3">
      <c r="A13" t="s">
        <v>72</v>
      </c>
      <c r="B13">
        <v>2025</v>
      </c>
      <c r="C13">
        <v>1</v>
      </c>
      <c r="D13" t="s">
        <v>31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3">
      <c r="A14" t="s">
        <v>72</v>
      </c>
      <c r="B14">
        <v>2025</v>
      </c>
      <c r="C14">
        <v>1</v>
      </c>
      <c r="D14" t="s">
        <v>31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3">
      <c r="A15" t="s">
        <v>72</v>
      </c>
      <c r="B15">
        <v>2025</v>
      </c>
      <c r="C15">
        <v>1</v>
      </c>
      <c r="D15" t="s">
        <v>31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3">
      <c r="A16" t="s">
        <v>72</v>
      </c>
      <c r="B16">
        <v>2025</v>
      </c>
      <c r="C16">
        <v>1</v>
      </c>
      <c r="D16" t="s">
        <v>31</v>
      </c>
      <c r="G16" t="s">
        <v>78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3">
      <c r="A17" t="s">
        <v>72</v>
      </c>
      <c r="B17">
        <v>2025</v>
      </c>
      <c r="C17">
        <v>1</v>
      </c>
      <c r="D17" t="s">
        <v>31</v>
      </c>
      <c r="G17" t="s">
        <v>78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3">
      <c r="A18" t="s">
        <v>72</v>
      </c>
      <c r="B18">
        <v>2025</v>
      </c>
      <c r="C18">
        <v>1</v>
      </c>
      <c r="D18" t="s">
        <v>31</v>
      </c>
      <c r="G18" t="s">
        <v>78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3">
      <c r="A19" t="s">
        <v>72</v>
      </c>
      <c r="B19">
        <v>2025</v>
      </c>
      <c r="C19">
        <v>1</v>
      </c>
      <c r="D19" t="s">
        <v>31</v>
      </c>
      <c r="G19" t="s">
        <v>78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3">
      <c r="A20" t="s">
        <v>72</v>
      </c>
      <c r="B20">
        <v>2025</v>
      </c>
      <c r="C20">
        <v>1</v>
      </c>
      <c r="D20" t="s">
        <v>31</v>
      </c>
      <c r="G20" t="s">
        <v>78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3">
      <c r="A21" t="s">
        <v>72</v>
      </c>
      <c r="B21">
        <v>2025</v>
      </c>
      <c r="C21">
        <v>1</v>
      </c>
      <c r="D21" t="s">
        <v>31</v>
      </c>
      <c r="G21" t="s">
        <v>78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3">
      <c r="A22" t="s">
        <v>72</v>
      </c>
      <c r="B22">
        <v>2025</v>
      </c>
      <c r="C22">
        <v>1</v>
      </c>
      <c r="D22" t="s">
        <v>31</v>
      </c>
      <c r="G22" t="s">
        <v>78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3">
      <c r="A23" t="s">
        <v>72</v>
      </c>
      <c r="B23">
        <v>2025</v>
      </c>
      <c r="C23">
        <v>1</v>
      </c>
      <c r="D23" t="s">
        <v>31</v>
      </c>
      <c r="G23" t="s">
        <v>78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3">
      <c r="A24" t="s">
        <v>72</v>
      </c>
      <c r="B24">
        <v>2025</v>
      </c>
      <c r="C24">
        <v>1</v>
      </c>
      <c r="D24" t="s">
        <v>31</v>
      </c>
      <c r="G24" t="s">
        <v>78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3">
      <c r="A25" t="s">
        <v>72</v>
      </c>
      <c r="B25">
        <v>2025</v>
      </c>
      <c r="C25">
        <v>1</v>
      </c>
      <c r="D25" t="s">
        <v>31</v>
      </c>
      <c r="G25" t="s">
        <v>78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3">
      <c r="A26" t="s">
        <v>72</v>
      </c>
      <c r="B26">
        <v>2025</v>
      </c>
      <c r="C26">
        <v>1</v>
      </c>
      <c r="D26" t="s">
        <v>31</v>
      </c>
      <c r="G26" t="s">
        <v>78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3">
      <c r="A27" t="s">
        <v>72</v>
      </c>
      <c r="B27">
        <v>2025</v>
      </c>
      <c r="C27">
        <v>1</v>
      </c>
      <c r="D27" t="s">
        <v>31</v>
      </c>
      <c r="G27" t="s">
        <v>78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3">
      <c r="A28" t="s">
        <v>72</v>
      </c>
      <c r="B28">
        <v>2025</v>
      </c>
      <c r="C28">
        <v>1</v>
      </c>
      <c r="D28" t="s">
        <v>31</v>
      </c>
      <c r="G28" t="s">
        <v>78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3">
      <c r="A29" t="s">
        <v>72</v>
      </c>
      <c r="B29">
        <v>2025</v>
      </c>
      <c r="C29">
        <v>1</v>
      </c>
      <c r="D29" t="s">
        <v>31</v>
      </c>
      <c r="G29" t="s">
        <v>78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3">
      <c r="A30" t="s">
        <v>72</v>
      </c>
      <c r="B30">
        <v>2025</v>
      </c>
      <c r="C30">
        <v>1</v>
      </c>
      <c r="D30" t="s">
        <v>31</v>
      </c>
      <c r="G30" t="s">
        <v>96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3">
      <c r="A31" t="s">
        <v>72</v>
      </c>
      <c r="B31">
        <v>2025</v>
      </c>
      <c r="C31">
        <v>1</v>
      </c>
      <c r="D31" t="s">
        <v>31</v>
      </c>
      <c r="G31" t="s">
        <v>96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3">
      <c r="A32" t="s">
        <v>72</v>
      </c>
      <c r="B32">
        <v>2025</v>
      </c>
      <c r="C32">
        <v>1</v>
      </c>
      <c r="D32" t="s">
        <v>31</v>
      </c>
      <c r="G32" t="s">
        <v>96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3">
      <c r="A33" t="s">
        <v>72</v>
      </c>
      <c r="B33">
        <v>2025</v>
      </c>
      <c r="C33">
        <v>1</v>
      </c>
      <c r="D33" t="s">
        <v>31</v>
      </c>
      <c r="G33" t="s">
        <v>96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3">
      <c r="A34" t="s">
        <v>72</v>
      </c>
      <c r="B34">
        <v>2025</v>
      </c>
      <c r="C34">
        <v>1</v>
      </c>
      <c r="D34" t="s">
        <v>31</v>
      </c>
      <c r="G34" t="s">
        <v>96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3">
      <c r="A35" t="s">
        <v>72</v>
      </c>
      <c r="B35">
        <v>2025</v>
      </c>
      <c r="C35">
        <v>1</v>
      </c>
      <c r="D35" t="s">
        <v>31</v>
      </c>
      <c r="G35" t="s">
        <v>96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3">
      <c r="A36" t="s">
        <v>72</v>
      </c>
      <c r="B36">
        <v>2025</v>
      </c>
      <c r="C36">
        <v>1</v>
      </c>
      <c r="D36" t="s">
        <v>31</v>
      </c>
      <c r="G36" t="s">
        <v>96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3">
      <c r="A37" t="s">
        <v>72</v>
      </c>
      <c r="B37">
        <v>2025</v>
      </c>
      <c r="C37">
        <v>1</v>
      </c>
      <c r="D37" t="s">
        <v>31</v>
      </c>
      <c r="G37" t="s">
        <v>96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3">
      <c r="A38" t="s">
        <v>72</v>
      </c>
      <c r="B38">
        <v>2025</v>
      </c>
      <c r="C38">
        <v>1</v>
      </c>
      <c r="D38" t="s">
        <v>31</v>
      </c>
      <c r="G38" t="s">
        <v>96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3">
      <c r="A39" t="s">
        <v>72</v>
      </c>
      <c r="B39">
        <v>2025</v>
      </c>
      <c r="C39">
        <v>1</v>
      </c>
      <c r="D39" t="s">
        <v>31</v>
      </c>
      <c r="G39" t="s">
        <v>96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3">
      <c r="A40" t="s">
        <v>72</v>
      </c>
      <c r="B40">
        <v>2025</v>
      </c>
      <c r="C40">
        <v>1</v>
      </c>
      <c r="D40" t="s">
        <v>31</v>
      </c>
      <c r="G40" t="s">
        <v>96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3">
      <c r="A41" t="s">
        <v>72</v>
      </c>
      <c r="B41">
        <v>2025</v>
      </c>
      <c r="C41">
        <v>1</v>
      </c>
      <c r="D41" t="s">
        <v>31</v>
      </c>
      <c r="G41" t="s">
        <v>96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3">
      <c r="A42" t="s">
        <v>72</v>
      </c>
      <c r="B42">
        <v>2025</v>
      </c>
      <c r="C42">
        <v>1</v>
      </c>
      <c r="D42" t="s">
        <v>31</v>
      </c>
      <c r="G42" t="s">
        <v>96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3">
      <c r="A43" t="s">
        <v>72</v>
      </c>
      <c r="B43">
        <v>2025</v>
      </c>
      <c r="C43">
        <v>1</v>
      </c>
      <c r="D43" t="s">
        <v>31</v>
      </c>
      <c r="G43" t="s">
        <v>96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3">
      <c r="A44" t="s">
        <v>72</v>
      </c>
      <c r="B44">
        <v>2025</v>
      </c>
      <c r="C44">
        <v>1</v>
      </c>
      <c r="D44" t="s">
        <v>31</v>
      </c>
      <c r="E44" t="s">
        <v>49</v>
      </c>
      <c r="F44" t="s">
        <v>50</v>
      </c>
      <c r="H44" t="s">
        <v>51</v>
      </c>
      <c r="I44" t="s">
        <v>33</v>
      </c>
      <c r="J44" t="s">
        <v>32</v>
      </c>
      <c r="L44">
        <v>2024</v>
      </c>
      <c r="M44" t="s">
        <v>34</v>
      </c>
      <c r="N44" t="s">
        <v>35</v>
      </c>
      <c r="O44">
        <v>127160</v>
      </c>
      <c r="P44" t="s">
        <v>36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523.418731364515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1.6457259984233616</v>
      </c>
    </row>
    <row r="45" spans="1:36" x14ac:dyDescent="0.3">
      <c r="A45" t="s">
        <v>72</v>
      </c>
      <c r="B45">
        <v>2025</v>
      </c>
      <c r="C45">
        <v>1</v>
      </c>
      <c r="D45" t="s">
        <v>31</v>
      </c>
      <c r="E45" t="s">
        <v>49</v>
      </c>
      <c r="F45" t="s">
        <v>50</v>
      </c>
      <c r="H45" t="s">
        <v>51</v>
      </c>
      <c r="I45" t="s">
        <v>33</v>
      </c>
      <c r="J45" t="s">
        <v>32</v>
      </c>
      <c r="L45">
        <v>2024</v>
      </c>
      <c r="M45" t="s">
        <v>34</v>
      </c>
      <c r="N45" t="s">
        <v>35</v>
      </c>
      <c r="O45">
        <v>127160</v>
      </c>
      <c r="P45" t="s">
        <v>36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523.418731364515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2.4049650259128996</v>
      </c>
    </row>
    <row r="46" spans="1:36" x14ac:dyDescent="0.3">
      <c r="A46" t="s">
        <v>72</v>
      </c>
      <c r="B46">
        <v>2025</v>
      </c>
      <c r="C46">
        <v>1</v>
      </c>
      <c r="D46" t="s">
        <v>31</v>
      </c>
      <c r="E46" t="s">
        <v>49</v>
      </c>
      <c r="F46" t="s">
        <v>50</v>
      </c>
      <c r="H46" t="s">
        <v>51</v>
      </c>
      <c r="I46" t="s">
        <v>33</v>
      </c>
      <c r="J46" t="s">
        <v>32</v>
      </c>
      <c r="L46">
        <v>2024</v>
      </c>
      <c r="M46" t="s">
        <v>34</v>
      </c>
      <c r="N46" t="s">
        <v>35</v>
      </c>
      <c r="O46">
        <v>127160</v>
      </c>
      <c r="P46" t="s">
        <v>36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523.418731364515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0.77081447567769235</v>
      </c>
    </row>
    <row r="47" spans="1:36" x14ac:dyDescent="0.3">
      <c r="A47" t="s">
        <v>72</v>
      </c>
      <c r="B47">
        <v>2025</v>
      </c>
      <c r="C47">
        <v>1</v>
      </c>
      <c r="D47" t="s">
        <v>31</v>
      </c>
      <c r="E47" t="s">
        <v>49</v>
      </c>
      <c r="F47" t="s">
        <v>50</v>
      </c>
      <c r="H47" t="s">
        <v>51</v>
      </c>
      <c r="I47" t="s">
        <v>33</v>
      </c>
      <c r="J47" t="s">
        <v>32</v>
      </c>
      <c r="L47">
        <v>2024</v>
      </c>
      <c r="M47" t="s">
        <v>34</v>
      </c>
      <c r="N47" t="s">
        <v>35</v>
      </c>
      <c r="O47">
        <v>127160</v>
      </c>
      <c r="P47" t="s">
        <v>36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523.418731364515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8.9411303482519937</v>
      </c>
    </row>
    <row r="48" spans="1:36" x14ac:dyDescent="0.3">
      <c r="A48" t="s">
        <v>72</v>
      </c>
      <c r="B48">
        <v>2025</v>
      </c>
      <c r="C48">
        <v>1</v>
      </c>
      <c r="D48" t="s">
        <v>31</v>
      </c>
      <c r="E48" t="s">
        <v>49</v>
      </c>
      <c r="F48" t="s">
        <v>50</v>
      </c>
      <c r="H48" t="s">
        <v>51</v>
      </c>
      <c r="I48" t="s">
        <v>33</v>
      </c>
      <c r="J48" t="s">
        <v>32</v>
      </c>
      <c r="L48">
        <v>2024</v>
      </c>
      <c r="M48" t="s">
        <v>34</v>
      </c>
      <c r="N48" t="s">
        <v>35</v>
      </c>
      <c r="O48">
        <v>127160</v>
      </c>
      <c r="P48" t="s">
        <v>36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523.418731364515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13.240341575382008</v>
      </c>
    </row>
    <row r="49" spans="1:36" x14ac:dyDescent="0.3">
      <c r="A49" t="s">
        <v>72</v>
      </c>
      <c r="B49">
        <v>2025</v>
      </c>
      <c r="C49">
        <v>1</v>
      </c>
      <c r="D49" t="s">
        <v>31</v>
      </c>
      <c r="E49" t="s">
        <v>49</v>
      </c>
      <c r="F49" t="s">
        <v>50</v>
      </c>
      <c r="H49" t="s">
        <v>51</v>
      </c>
      <c r="I49" t="s">
        <v>33</v>
      </c>
      <c r="J49" t="s">
        <v>32</v>
      </c>
      <c r="L49">
        <v>2024</v>
      </c>
      <c r="M49" t="s">
        <v>34</v>
      </c>
      <c r="N49" t="s">
        <v>35</v>
      </c>
      <c r="O49">
        <v>127160</v>
      </c>
      <c r="P49" t="s">
        <v>36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523.418731364515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13.129486355428321</v>
      </c>
    </row>
    <row r="50" spans="1:36" x14ac:dyDescent="0.3">
      <c r="A50" t="s">
        <v>72</v>
      </c>
      <c r="B50">
        <v>2025</v>
      </c>
      <c r="C50">
        <v>1</v>
      </c>
      <c r="D50" t="s">
        <v>31</v>
      </c>
      <c r="E50" t="s">
        <v>49</v>
      </c>
      <c r="F50" t="s">
        <v>50</v>
      </c>
      <c r="H50" t="s">
        <v>51</v>
      </c>
      <c r="I50" t="s">
        <v>33</v>
      </c>
      <c r="J50" t="s">
        <v>32</v>
      </c>
      <c r="L50">
        <v>2024</v>
      </c>
      <c r="M50" t="s">
        <v>34</v>
      </c>
      <c r="N50" t="s">
        <v>35</v>
      </c>
      <c r="O50">
        <v>127160</v>
      </c>
      <c r="P50" t="s">
        <v>36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523.418731364515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18.967528467041134</v>
      </c>
    </row>
    <row r="51" spans="1:36" x14ac:dyDescent="0.3">
      <c r="A51" t="s">
        <v>72</v>
      </c>
      <c r="B51">
        <v>2025</v>
      </c>
      <c r="C51">
        <v>1</v>
      </c>
      <c r="D51" t="s">
        <v>31</v>
      </c>
      <c r="E51" t="s">
        <v>49</v>
      </c>
      <c r="F51" t="s">
        <v>50</v>
      </c>
      <c r="H51" t="s">
        <v>51</v>
      </c>
      <c r="I51" t="s">
        <v>33</v>
      </c>
      <c r="J51" t="s">
        <v>32</v>
      </c>
      <c r="L51">
        <v>2024</v>
      </c>
      <c r="M51" t="s">
        <v>34</v>
      </c>
      <c r="N51" t="s">
        <v>35</v>
      </c>
      <c r="O51">
        <v>127160</v>
      </c>
      <c r="P51" t="s">
        <v>36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523.418731364515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3">
      <c r="A52" t="s">
        <v>72</v>
      </c>
      <c r="B52">
        <v>2025</v>
      </c>
      <c r="C52">
        <v>1</v>
      </c>
      <c r="D52" t="s">
        <v>31</v>
      </c>
      <c r="E52" t="s">
        <v>49</v>
      </c>
      <c r="F52" t="s">
        <v>50</v>
      </c>
      <c r="H52" t="s">
        <v>51</v>
      </c>
      <c r="I52" t="s">
        <v>33</v>
      </c>
      <c r="J52" t="s">
        <v>32</v>
      </c>
      <c r="L52">
        <v>2024</v>
      </c>
      <c r="M52" t="s">
        <v>34</v>
      </c>
      <c r="N52" t="s">
        <v>35</v>
      </c>
      <c r="O52">
        <v>127160</v>
      </c>
      <c r="P52" t="s">
        <v>36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523.418731364515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3">
      <c r="A53" t="s">
        <v>72</v>
      </c>
      <c r="B53">
        <v>2025</v>
      </c>
      <c r="C53">
        <v>1</v>
      </c>
      <c r="D53" t="s">
        <v>31</v>
      </c>
      <c r="E53" t="s">
        <v>49</v>
      </c>
      <c r="F53" t="s">
        <v>50</v>
      </c>
      <c r="H53" t="s">
        <v>51</v>
      </c>
      <c r="I53" t="s">
        <v>33</v>
      </c>
      <c r="J53" t="s">
        <v>32</v>
      </c>
      <c r="L53">
        <v>2024</v>
      </c>
      <c r="M53" t="s">
        <v>34</v>
      </c>
      <c r="N53" t="s">
        <v>35</v>
      </c>
      <c r="O53">
        <v>127160</v>
      </c>
      <c r="P53" t="s">
        <v>36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523.418731364515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3">
      <c r="A54" t="s">
        <v>72</v>
      </c>
      <c r="B54">
        <v>2025</v>
      </c>
      <c r="C54">
        <v>1</v>
      </c>
      <c r="D54" t="s">
        <v>31</v>
      </c>
      <c r="E54" t="s">
        <v>49</v>
      </c>
      <c r="F54" t="s">
        <v>50</v>
      </c>
      <c r="H54" t="s">
        <v>51</v>
      </c>
      <c r="I54" t="s">
        <v>33</v>
      </c>
      <c r="J54" t="s">
        <v>32</v>
      </c>
      <c r="L54">
        <v>2024</v>
      </c>
      <c r="M54" t="s">
        <v>34</v>
      </c>
      <c r="N54" t="s">
        <v>35</v>
      </c>
      <c r="O54">
        <v>127160</v>
      </c>
      <c r="P54" t="s">
        <v>36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523.418731364515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3">
      <c r="A55" t="s">
        <v>72</v>
      </c>
      <c r="B55">
        <v>2025</v>
      </c>
      <c r="C55">
        <v>1</v>
      </c>
      <c r="D55" t="s">
        <v>31</v>
      </c>
      <c r="E55" t="s">
        <v>49</v>
      </c>
      <c r="F55" t="s">
        <v>50</v>
      </c>
      <c r="H55" t="s">
        <v>51</v>
      </c>
      <c r="I55" t="s">
        <v>33</v>
      </c>
      <c r="J55" t="s">
        <v>32</v>
      </c>
      <c r="L55">
        <v>2024</v>
      </c>
      <c r="M55" t="s">
        <v>34</v>
      </c>
      <c r="N55" t="s">
        <v>35</v>
      </c>
      <c r="O55">
        <v>127160</v>
      </c>
      <c r="P55" t="s">
        <v>36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523.418731364515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3">
      <c r="A56" t="s">
        <v>72</v>
      </c>
      <c r="B56">
        <v>2025</v>
      </c>
      <c r="C56">
        <v>1</v>
      </c>
      <c r="D56" t="s">
        <v>31</v>
      </c>
      <c r="E56" t="s">
        <v>49</v>
      </c>
      <c r="F56" t="s">
        <v>50</v>
      </c>
      <c r="H56" t="s">
        <v>51</v>
      </c>
      <c r="I56" t="s">
        <v>33</v>
      </c>
      <c r="J56" t="s">
        <v>32</v>
      </c>
      <c r="L56">
        <v>2024</v>
      </c>
      <c r="M56" t="s">
        <v>34</v>
      </c>
      <c r="N56" t="s">
        <v>35</v>
      </c>
      <c r="O56">
        <v>127160</v>
      </c>
      <c r="P56" t="s">
        <v>36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523.418731364515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3">
      <c r="A57" t="s">
        <v>72</v>
      </c>
      <c r="B57">
        <v>2025</v>
      </c>
      <c r="C57">
        <v>1</v>
      </c>
      <c r="D57" t="s">
        <v>31</v>
      </c>
      <c r="E57" t="s">
        <v>49</v>
      </c>
      <c r="F57" t="s">
        <v>50</v>
      </c>
      <c r="H57" t="s">
        <v>51</v>
      </c>
      <c r="I57" t="s">
        <v>33</v>
      </c>
      <c r="J57" t="s">
        <v>32</v>
      </c>
      <c r="L57">
        <v>2024</v>
      </c>
      <c r="M57" t="s">
        <v>34</v>
      </c>
      <c r="N57" t="s">
        <v>35</v>
      </c>
      <c r="O57">
        <v>127160</v>
      </c>
      <c r="P57" t="s">
        <v>36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523.418731364515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3">
      <c r="A58" t="s">
        <v>72</v>
      </c>
      <c r="B58">
        <v>2025</v>
      </c>
      <c r="C58">
        <v>1</v>
      </c>
      <c r="D58" t="s">
        <v>31</v>
      </c>
      <c r="E58" t="s">
        <v>49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39</v>
      </c>
      <c r="V58" t="s">
        <v>40</v>
      </c>
      <c r="W58" t="s">
        <v>41</v>
      </c>
      <c r="X58" t="s">
        <v>43</v>
      </c>
      <c r="Y58" t="s">
        <v>44</v>
      </c>
      <c r="Z58">
        <v>5998.7539999999999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18.861200076294068</v>
      </c>
    </row>
    <row r="59" spans="1:36" x14ac:dyDescent="0.3">
      <c r="A59" t="s">
        <v>72</v>
      </c>
      <c r="B59">
        <v>2025</v>
      </c>
      <c r="C59">
        <v>1</v>
      </c>
      <c r="D59" t="s">
        <v>31</v>
      </c>
      <c r="E59" t="s">
        <v>49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39</v>
      </c>
      <c r="V59" t="s">
        <v>40</v>
      </c>
      <c r="W59" t="s">
        <v>41</v>
      </c>
      <c r="X59" t="s">
        <v>43</v>
      </c>
      <c r="Y59" t="s">
        <v>44</v>
      </c>
      <c r="Z59">
        <v>5998.7539999999999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27.562623774364166</v>
      </c>
    </row>
    <row r="60" spans="1:36" x14ac:dyDescent="0.3">
      <c r="A60" t="s">
        <v>72</v>
      </c>
      <c r="B60">
        <v>2025</v>
      </c>
      <c r="C60">
        <v>1</v>
      </c>
      <c r="D60" t="s">
        <v>31</v>
      </c>
      <c r="E60" t="s">
        <v>49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39</v>
      </c>
      <c r="V60" t="s">
        <v>40</v>
      </c>
      <c r="W60" t="s">
        <v>41</v>
      </c>
      <c r="X60" t="s">
        <v>43</v>
      </c>
      <c r="Y60" t="s">
        <v>44</v>
      </c>
      <c r="Z60">
        <v>5998.7539999999999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8.834086634949454</v>
      </c>
    </row>
    <row r="61" spans="1:36" x14ac:dyDescent="0.3">
      <c r="A61" t="s">
        <v>72</v>
      </c>
      <c r="B61">
        <v>2025</v>
      </c>
      <c r="C61">
        <v>1</v>
      </c>
      <c r="D61" t="s">
        <v>31</v>
      </c>
      <c r="E61" t="s">
        <v>49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39</v>
      </c>
      <c r="V61" t="s">
        <v>40</v>
      </c>
      <c r="W61" t="s">
        <v>41</v>
      </c>
      <c r="X61" t="s">
        <v>43</v>
      </c>
      <c r="Y61" t="s">
        <v>44</v>
      </c>
      <c r="Z61">
        <v>5998.7539999999999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102.47176538996565</v>
      </c>
    </row>
    <row r="62" spans="1:36" x14ac:dyDescent="0.3">
      <c r="A62" t="s">
        <v>72</v>
      </c>
      <c r="B62">
        <v>2025</v>
      </c>
      <c r="C62">
        <v>1</v>
      </c>
      <c r="D62" t="s">
        <v>31</v>
      </c>
      <c r="E62" t="s">
        <v>49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39</v>
      </c>
      <c r="V62" t="s">
        <v>40</v>
      </c>
      <c r="W62" t="s">
        <v>41</v>
      </c>
      <c r="X62" t="s">
        <v>43</v>
      </c>
      <c r="Y62" t="s">
        <v>44</v>
      </c>
      <c r="Z62">
        <v>5998.7539999999999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151.74380897609916</v>
      </c>
    </row>
    <row r="63" spans="1:36" x14ac:dyDescent="0.3">
      <c r="A63" t="s">
        <v>72</v>
      </c>
      <c r="B63">
        <v>2025</v>
      </c>
      <c r="C63">
        <v>1</v>
      </c>
      <c r="D63" t="s">
        <v>31</v>
      </c>
      <c r="E63" t="s">
        <v>49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39</v>
      </c>
      <c r="V63" t="s">
        <v>40</v>
      </c>
      <c r="W63" t="s">
        <v>41</v>
      </c>
      <c r="X63" t="s">
        <v>43</v>
      </c>
      <c r="Y63" t="s">
        <v>44</v>
      </c>
      <c r="Z63">
        <v>5998.7539999999999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150.47332866221268</v>
      </c>
    </row>
    <row r="64" spans="1:36" x14ac:dyDescent="0.3">
      <c r="A64" t="s">
        <v>72</v>
      </c>
      <c r="B64">
        <v>2025</v>
      </c>
      <c r="C64">
        <v>1</v>
      </c>
      <c r="D64" t="s">
        <v>31</v>
      </c>
      <c r="E64" t="s">
        <v>49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39</v>
      </c>
      <c r="V64" t="s">
        <v>40</v>
      </c>
      <c r="W64" t="s">
        <v>41</v>
      </c>
      <c r="X64" t="s">
        <v>43</v>
      </c>
      <c r="Y64" t="s">
        <v>44</v>
      </c>
      <c r="Z64">
        <v>5998.7539999999999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217.38147766541829</v>
      </c>
    </row>
    <row r="65" spans="1:36" x14ac:dyDescent="0.3">
      <c r="A65" t="s">
        <v>72</v>
      </c>
      <c r="B65">
        <v>2025</v>
      </c>
      <c r="C65">
        <v>1</v>
      </c>
      <c r="D65" t="s">
        <v>31</v>
      </c>
      <c r="E65" t="s">
        <v>49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39</v>
      </c>
      <c r="V65" t="s">
        <v>40</v>
      </c>
      <c r="W65" t="s">
        <v>41</v>
      </c>
      <c r="X65" t="s">
        <v>43</v>
      </c>
      <c r="Y65" t="s">
        <v>44</v>
      </c>
      <c r="Z65">
        <v>5998.7539999999999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3">
      <c r="A66" t="s">
        <v>72</v>
      </c>
      <c r="B66">
        <v>2025</v>
      </c>
      <c r="C66">
        <v>1</v>
      </c>
      <c r="D66" t="s">
        <v>31</v>
      </c>
      <c r="E66" t="s">
        <v>49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39</v>
      </c>
      <c r="V66" t="s">
        <v>40</v>
      </c>
      <c r="W66" t="s">
        <v>41</v>
      </c>
      <c r="X66" t="s">
        <v>43</v>
      </c>
      <c r="Y66" t="s">
        <v>44</v>
      </c>
      <c r="Z66">
        <v>5998.7539999999999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3">
      <c r="A67" t="s">
        <v>72</v>
      </c>
      <c r="B67">
        <v>2025</v>
      </c>
      <c r="C67">
        <v>1</v>
      </c>
      <c r="D67" t="s">
        <v>31</v>
      </c>
      <c r="E67" t="s">
        <v>49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39</v>
      </c>
      <c r="V67" t="s">
        <v>40</v>
      </c>
      <c r="W67" t="s">
        <v>41</v>
      </c>
      <c r="X67" t="s">
        <v>43</v>
      </c>
      <c r="Y67" t="s">
        <v>44</v>
      </c>
      <c r="Z67">
        <v>5998.7539999999999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3">
      <c r="A68" t="s">
        <v>72</v>
      </c>
      <c r="B68">
        <v>2025</v>
      </c>
      <c r="C68">
        <v>1</v>
      </c>
      <c r="D68" t="s">
        <v>31</v>
      </c>
      <c r="E68" t="s">
        <v>49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39</v>
      </c>
      <c r="V68" t="s">
        <v>40</v>
      </c>
      <c r="W68" t="s">
        <v>41</v>
      </c>
      <c r="X68" t="s">
        <v>43</v>
      </c>
      <c r="Y68" t="s">
        <v>44</v>
      </c>
      <c r="Z68">
        <v>5998.7539999999999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3">
      <c r="A69" t="s">
        <v>72</v>
      </c>
      <c r="B69">
        <v>2025</v>
      </c>
      <c r="C69">
        <v>1</v>
      </c>
      <c r="D69" t="s">
        <v>31</v>
      </c>
      <c r="E69" t="s">
        <v>49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39</v>
      </c>
      <c r="V69" t="s">
        <v>40</v>
      </c>
      <c r="W69" t="s">
        <v>41</v>
      </c>
      <c r="X69" t="s">
        <v>43</v>
      </c>
      <c r="Y69" t="s">
        <v>44</v>
      </c>
      <c r="Z69">
        <v>5998.7539999999999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3">
      <c r="A70" t="s">
        <v>72</v>
      </c>
      <c r="B70">
        <v>2025</v>
      </c>
      <c r="C70">
        <v>1</v>
      </c>
      <c r="D70" t="s">
        <v>31</v>
      </c>
      <c r="E70" t="s">
        <v>49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39</v>
      </c>
      <c r="V70" t="s">
        <v>40</v>
      </c>
      <c r="W70" t="s">
        <v>41</v>
      </c>
      <c r="X70" t="s">
        <v>43</v>
      </c>
      <c r="Y70" t="s">
        <v>44</v>
      </c>
      <c r="Z70">
        <v>5998.7539999999999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3">
      <c r="A71" t="s">
        <v>72</v>
      </c>
      <c r="B71">
        <v>2025</v>
      </c>
      <c r="C71">
        <v>1</v>
      </c>
      <c r="D71" t="s">
        <v>31</v>
      </c>
      <c r="E71" t="s">
        <v>49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39</v>
      </c>
      <c r="V71" t="s">
        <v>40</v>
      </c>
      <c r="W71" t="s">
        <v>41</v>
      </c>
      <c r="X71" t="s">
        <v>43</v>
      </c>
      <c r="Y71" t="s">
        <v>44</v>
      </c>
      <c r="Z71">
        <v>5998.7539999999999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3">
      <c r="A72" t="s">
        <v>72</v>
      </c>
      <c r="B72">
        <v>2025</v>
      </c>
      <c r="C72">
        <v>1</v>
      </c>
      <c r="D72" t="s">
        <v>31</v>
      </c>
      <c r="E72" t="s">
        <v>49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2</v>
      </c>
      <c r="S72" t="s">
        <v>38</v>
      </c>
      <c r="T72" t="s">
        <v>52</v>
      </c>
      <c r="V72" t="s">
        <v>40</v>
      </c>
      <c r="W72" t="s">
        <v>41</v>
      </c>
      <c r="X72" t="s">
        <v>43</v>
      </c>
      <c r="Y72" t="s">
        <v>44</v>
      </c>
      <c r="Z72">
        <v>206.82454807327201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0.65029490822578895</v>
      </c>
    </row>
    <row r="73" spans="1:36" x14ac:dyDescent="0.3">
      <c r="A73" t="s">
        <v>72</v>
      </c>
      <c r="B73">
        <v>2025</v>
      </c>
      <c r="C73">
        <v>1</v>
      </c>
      <c r="D73" t="s">
        <v>31</v>
      </c>
      <c r="E73" t="s">
        <v>49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2</v>
      </c>
      <c r="S73" t="s">
        <v>38</v>
      </c>
      <c r="T73" t="s">
        <v>52</v>
      </c>
      <c r="V73" t="s">
        <v>40</v>
      </c>
      <c r="W73" t="s">
        <v>41</v>
      </c>
      <c r="X73" t="s">
        <v>43</v>
      </c>
      <c r="Y73" t="s">
        <v>44</v>
      </c>
      <c r="Z73">
        <v>206.82454807327201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0.95030188033156404</v>
      </c>
    </row>
    <row r="74" spans="1:36" x14ac:dyDescent="0.3">
      <c r="A74" t="s">
        <v>72</v>
      </c>
      <c r="B74">
        <v>2025</v>
      </c>
      <c r="C74">
        <v>1</v>
      </c>
      <c r="D74" t="s">
        <v>31</v>
      </c>
      <c r="E74" t="s">
        <v>49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2</v>
      </c>
      <c r="S74" t="s">
        <v>38</v>
      </c>
      <c r="T74" t="s">
        <v>52</v>
      </c>
      <c r="V74" t="s">
        <v>40</v>
      </c>
      <c r="W74" t="s">
        <v>41</v>
      </c>
      <c r="X74" t="s">
        <v>43</v>
      </c>
      <c r="Y74" t="s">
        <v>44</v>
      </c>
      <c r="Z74">
        <v>206.82454807327201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0.30458091395539022</v>
      </c>
    </row>
    <row r="75" spans="1:36" x14ac:dyDescent="0.3">
      <c r="A75" t="s">
        <v>72</v>
      </c>
      <c r="B75">
        <v>2025</v>
      </c>
      <c r="C75">
        <v>1</v>
      </c>
      <c r="D75" t="s">
        <v>31</v>
      </c>
      <c r="E75" t="s">
        <v>49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2</v>
      </c>
      <c r="S75" t="s">
        <v>38</v>
      </c>
      <c r="T75" t="s">
        <v>52</v>
      </c>
      <c r="V75" t="s">
        <v>40</v>
      </c>
      <c r="W75" t="s">
        <v>41</v>
      </c>
      <c r="X75" t="s">
        <v>43</v>
      </c>
      <c r="Y75" t="s">
        <v>44</v>
      </c>
      <c r="Z75">
        <v>206.82454807327201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3.5330131168989434</v>
      </c>
    </row>
    <row r="76" spans="1:36" x14ac:dyDescent="0.3">
      <c r="A76" t="s">
        <v>72</v>
      </c>
      <c r="B76">
        <v>2025</v>
      </c>
      <c r="C76">
        <v>1</v>
      </c>
      <c r="D76" t="s">
        <v>31</v>
      </c>
      <c r="E76" t="s">
        <v>49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2</v>
      </c>
      <c r="S76" t="s">
        <v>38</v>
      </c>
      <c r="T76" t="s">
        <v>52</v>
      </c>
      <c r="V76" t="s">
        <v>40</v>
      </c>
      <c r="W76" t="s">
        <v>41</v>
      </c>
      <c r="X76" t="s">
        <v>43</v>
      </c>
      <c r="Y76" t="s">
        <v>44</v>
      </c>
      <c r="Z76">
        <v>206.82454807327201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5.2318105917326534</v>
      </c>
    </row>
    <row r="77" spans="1:36" x14ac:dyDescent="0.3">
      <c r="A77" t="s">
        <v>72</v>
      </c>
      <c r="B77">
        <v>2025</v>
      </c>
      <c r="C77">
        <v>1</v>
      </c>
      <c r="D77" t="s">
        <v>31</v>
      </c>
      <c r="E77" t="s">
        <v>49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2</v>
      </c>
      <c r="S77" t="s">
        <v>38</v>
      </c>
      <c r="T77" t="s">
        <v>52</v>
      </c>
      <c r="V77" t="s">
        <v>40</v>
      </c>
      <c r="W77" t="s">
        <v>41</v>
      </c>
      <c r="X77" t="s">
        <v>43</v>
      </c>
      <c r="Y77" t="s">
        <v>44</v>
      </c>
      <c r="Z77">
        <v>206.82454807327201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5.1880070757432399</v>
      </c>
    </row>
    <row r="78" spans="1:36" x14ac:dyDescent="0.3">
      <c r="A78" t="s">
        <v>72</v>
      </c>
      <c r="B78">
        <v>2025</v>
      </c>
      <c r="C78">
        <v>1</v>
      </c>
      <c r="D78" t="s">
        <v>31</v>
      </c>
      <c r="E78" t="s">
        <v>49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2</v>
      </c>
      <c r="S78" t="s">
        <v>38</v>
      </c>
      <c r="T78" t="s">
        <v>52</v>
      </c>
      <c r="V78" t="s">
        <v>40</v>
      </c>
      <c r="W78" t="s">
        <v>41</v>
      </c>
      <c r="X78" t="s">
        <v>43</v>
      </c>
      <c r="Y78" t="s">
        <v>44</v>
      </c>
      <c r="Z78">
        <v>206.82454807327201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7.4948607456898895</v>
      </c>
    </row>
    <row r="79" spans="1:36" x14ac:dyDescent="0.3">
      <c r="A79" t="s">
        <v>72</v>
      </c>
      <c r="B79">
        <v>2025</v>
      </c>
      <c r="C79">
        <v>1</v>
      </c>
      <c r="D79" t="s">
        <v>31</v>
      </c>
      <c r="E79" t="s">
        <v>49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2</v>
      </c>
      <c r="S79" t="s">
        <v>38</v>
      </c>
      <c r="T79" t="s">
        <v>52</v>
      </c>
      <c r="V79" t="s">
        <v>40</v>
      </c>
      <c r="W79" t="s">
        <v>41</v>
      </c>
      <c r="X79" t="s">
        <v>43</v>
      </c>
      <c r="Y79" t="s">
        <v>44</v>
      </c>
      <c r="Z79">
        <v>206.82454807327201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3">
      <c r="A80" t="s">
        <v>72</v>
      </c>
      <c r="B80">
        <v>2025</v>
      </c>
      <c r="C80">
        <v>1</v>
      </c>
      <c r="D80" t="s">
        <v>31</v>
      </c>
      <c r="E80" t="s">
        <v>49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2</v>
      </c>
      <c r="S80" t="s">
        <v>38</v>
      </c>
      <c r="T80" t="s">
        <v>52</v>
      </c>
      <c r="V80" t="s">
        <v>40</v>
      </c>
      <c r="W80" t="s">
        <v>41</v>
      </c>
      <c r="X80" t="s">
        <v>43</v>
      </c>
      <c r="Y80" t="s">
        <v>44</v>
      </c>
      <c r="Z80">
        <v>206.82454807327201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3">
      <c r="A81" t="s">
        <v>72</v>
      </c>
      <c r="B81">
        <v>2025</v>
      </c>
      <c r="C81">
        <v>1</v>
      </c>
      <c r="D81" t="s">
        <v>31</v>
      </c>
      <c r="E81" t="s">
        <v>49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2</v>
      </c>
      <c r="S81" t="s">
        <v>38</v>
      </c>
      <c r="T81" t="s">
        <v>52</v>
      </c>
      <c r="V81" t="s">
        <v>40</v>
      </c>
      <c r="W81" t="s">
        <v>41</v>
      </c>
      <c r="X81" t="s">
        <v>43</v>
      </c>
      <c r="Y81" t="s">
        <v>44</v>
      </c>
      <c r="Z81">
        <v>206.82454807327201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3">
      <c r="A82" t="s">
        <v>72</v>
      </c>
      <c r="B82">
        <v>2025</v>
      </c>
      <c r="C82">
        <v>1</v>
      </c>
      <c r="D82" t="s">
        <v>31</v>
      </c>
      <c r="E82" t="s">
        <v>49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2</v>
      </c>
      <c r="S82" t="s">
        <v>38</v>
      </c>
      <c r="T82" t="s">
        <v>52</v>
      </c>
      <c r="V82" t="s">
        <v>40</v>
      </c>
      <c r="W82" t="s">
        <v>41</v>
      </c>
      <c r="X82" t="s">
        <v>43</v>
      </c>
      <c r="Y82" t="s">
        <v>44</v>
      </c>
      <c r="Z82">
        <v>206.82454807327201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3">
      <c r="A83" t="s">
        <v>72</v>
      </c>
      <c r="B83">
        <v>2025</v>
      </c>
      <c r="C83">
        <v>1</v>
      </c>
      <c r="D83" t="s">
        <v>31</v>
      </c>
      <c r="E83" t="s">
        <v>49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2</v>
      </c>
      <c r="S83" t="s">
        <v>38</v>
      </c>
      <c r="T83" t="s">
        <v>52</v>
      </c>
      <c r="V83" t="s">
        <v>40</v>
      </c>
      <c r="W83" t="s">
        <v>41</v>
      </c>
      <c r="X83" t="s">
        <v>43</v>
      </c>
      <c r="Y83" t="s">
        <v>44</v>
      </c>
      <c r="Z83">
        <v>206.82454807327201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3">
      <c r="A84" t="s">
        <v>72</v>
      </c>
      <c r="B84">
        <v>2025</v>
      </c>
      <c r="C84">
        <v>1</v>
      </c>
      <c r="D84" t="s">
        <v>31</v>
      </c>
      <c r="E84" t="s">
        <v>49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2</v>
      </c>
      <c r="S84" t="s">
        <v>38</v>
      </c>
      <c r="T84" t="s">
        <v>52</v>
      </c>
      <c r="V84" t="s">
        <v>40</v>
      </c>
      <c r="W84" t="s">
        <v>41</v>
      </c>
      <c r="X84" t="s">
        <v>43</v>
      </c>
      <c r="Y84" t="s">
        <v>44</v>
      </c>
      <c r="Z84">
        <v>206.82454807327201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3">
      <c r="A85" t="s">
        <v>72</v>
      </c>
      <c r="B85">
        <v>2025</v>
      </c>
      <c r="C85">
        <v>1</v>
      </c>
      <c r="D85" t="s">
        <v>31</v>
      </c>
      <c r="E85" t="s">
        <v>49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2</v>
      </c>
      <c r="S85" t="s">
        <v>38</v>
      </c>
      <c r="T85" t="s">
        <v>52</v>
      </c>
      <c r="V85" t="s">
        <v>40</v>
      </c>
      <c r="W85" t="s">
        <v>41</v>
      </c>
      <c r="X85" t="s">
        <v>43</v>
      </c>
      <c r="Y85" t="s">
        <v>44</v>
      </c>
      <c r="Z85">
        <v>206.82454807327201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3">
      <c r="A86" t="s">
        <v>72</v>
      </c>
      <c r="B86">
        <v>2025</v>
      </c>
      <c r="C86">
        <v>1</v>
      </c>
      <c r="D86" t="s">
        <v>31</v>
      </c>
      <c r="E86" t="s">
        <v>49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39</v>
      </c>
      <c r="V86" t="s">
        <v>40</v>
      </c>
      <c r="W86" t="s">
        <v>41</v>
      </c>
      <c r="X86" t="s">
        <v>43</v>
      </c>
      <c r="Y86" t="s">
        <v>44</v>
      </c>
      <c r="Z86">
        <v>1819.45994532345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5.7207210129884736</v>
      </c>
    </row>
    <row r="87" spans="1:36" x14ac:dyDescent="0.3">
      <c r="A87" t="s">
        <v>72</v>
      </c>
      <c r="B87">
        <v>2025</v>
      </c>
      <c r="C87">
        <v>1</v>
      </c>
      <c r="D87" t="s">
        <v>31</v>
      </c>
      <c r="E87" t="s">
        <v>49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39</v>
      </c>
      <c r="V87" t="s">
        <v>40</v>
      </c>
      <c r="W87" t="s">
        <v>41</v>
      </c>
      <c r="X87" t="s">
        <v>43</v>
      </c>
      <c r="Y87" t="s">
        <v>44</v>
      </c>
      <c r="Z87">
        <v>1819.45994532345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8.3599177338286328</v>
      </c>
    </row>
    <row r="88" spans="1:36" x14ac:dyDescent="0.3">
      <c r="A88" t="s">
        <v>72</v>
      </c>
      <c r="B88">
        <v>2025</v>
      </c>
      <c r="C88">
        <v>1</v>
      </c>
      <c r="D88" t="s">
        <v>31</v>
      </c>
      <c r="E88" t="s">
        <v>49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39</v>
      </c>
      <c r="V88" t="s">
        <v>40</v>
      </c>
      <c r="W88" t="s">
        <v>41</v>
      </c>
      <c r="X88" t="s">
        <v>43</v>
      </c>
      <c r="Y88" t="s">
        <v>44</v>
      </c>
      <c r="Z88">
        <v>1819.45994532345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2.6794342268090596</v>
      </c>
    </row>
    <row r="89" spans="1:36" x14ac:dyDescent="0.3">
      <c r="A89" t="s">
        <v>72</v>
      </c>
      <c r="B89">
        <v>2025</v>
      </c>
      <c r="C89">
        <v>1</v>
      </c>
      <c r="D89" t="s">
        <v>31</v>
      </c>
      <c r="E89" t="s">
        <v>49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39</v>
      </c>
      <c r="V89" t="s">
        <v>40</v>
      </c>
      <c r="W89" t="s">
        <v>41</v>
      </c>
      <c r="X89" t="s">
        <v>43</v>
      </c>
      <c r="Y89" t="s">
        <v>44</v>
      </c>
      <c r="Z89">
        <v>1819.45994532345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31.080333124782964</v>
      </c>
    </row>
    <row r="90" spans="1:36" x14ac:dyDescent="0.3">
      <c r="A90" t="s">
        <v>72</v>
      </c>
      <c r="B90">
        <v>2025</v>
      </c>
      <c r="C90">
        <v>1</v>
      </c>
      <c r="D90" t="s">
        <v>31</v>
      </c>
      <c r="E90" t="s">
        <v>49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39</v>
      </c>
      <c r="V90" t="s">
        <v>40</v>
      </c>
      <c r="W90" t="s">
        <v>41</v>
      </c>
      <c r="X90" t="s">
        <v>43</v>
      </c>
      <c r="Y90" t="s">
        <v>44</v>
      </c>
      <c r="Z90">
        <v>1819.45994532345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46.024854892003468</v>
      </c>
    </row>
    <row r="91" spans="1:36" x14ac:dyDescent="0.3">
      <c r="A91" t="s">
        <v>72</v>
      </c>
      <c r="B91">
        <v>2025</v>
      </c>
      <c r="C91">
        <v>1</v>
      </c>
      <c r="D91" t="s">
        <v>31</v>
      </c>
      <c r="E91" t="s">
        <v>49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39</v>
      </c>
      <c r="V91" t="s">
        <v>40</v>
      </c>
      <c r="W91" t="s">
        <v>41</v>
      </c>
      <c r="X91" t="s">
        <v>43</v>
      </c>
      <c r="Y91" t="s">
        <v>44</v>
      </c>
      <c r="Z91">
        <v>1819.45994532345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45.639510195014999</v>
      </c>
    </row>
    <row r="92" spans="1:36" x14ac:dyDescent="0.3">
      <c r="A92" t="s">
        <v>72</v>
      </c>
      <c r="B92">
        <v>2025</v>
      </c>
      <c r="C92">
        <v>1</v>
      </c>
      <c r="D92" t="s">
        <v>31</v>
      </c>
      <c r="E92" t="s">
        <v>49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39</v>
      </c>
      <c r="V92" t="s">
        <v>40</v>
      </c>
      <c r="W92" t="s">
        <v>41</v>
      </c>
      <c r="X92" t="s">
        <v>43</v>
      </c>
      <c r="Y92" t="s">
        <v>44</v>
      </c>
      <c r="Z92">
        <v>1819.45994532345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65.933174033716455</v>
      </c>
    </row>
    <row r="93" spans="1:36" x14ac:dyDescent="0.3">
      <c r="A93" t="s">
        <v>72</v>
      </c>
      <c r="B93">
        <v>2025</v>
      </c>
      <c r="C93">
        <v>1</v>
      </c>
      <c r="D93" t="s">
        <v>31</v>
      </c>
      <c r="E93" t="s">
        <v>49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39</v>
      </c>
      <c r="V93" t="s">
        <v>40</v>
      </c>
      <c r="W93" t="s">
        <v>41</v>
      </c>
      <c r="X93" t="s">
        <v>43</v>
      </c>
      <c r="Y93" t="s">
        <v>44</v>
      </c>
      <c r="Z93">
        <v>1819.45994532345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3">
      <c r="A94" t="s">
        <v>72</v>
      </c>
      <c r="B94">
        <v>2025</v>
      </c>
      <c r="C94">
        <v>1</v>
      </c>
      <c r="D94" t="s">
        <v>31</v>
      </c>
      <c r="E94" t="s">
        <v>49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39</v>
      </c>
      <c r="V94" t="s">
        <v>40</v>
      </c>
      <c r="W94" t="s">
        <v>41</v>
      </c>
      <c r="X94" t="s">
        <v>43</v>
      </c>
      <c r="Y94" t="s">
        <v>44</v>
      </c>
      <c r="Z94">
        <v>1819.45994532345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3">
      <c r="A95" t="s">
        <v>72</v>
      </c>
      <c r="B95">
        <v>2025</v>
      </c>
      <c r="C95">
        <v>1</v>
      </c>
      <c r="D95" t="s">
        <v>31</v>
      </c>
      <c r="E95" t="s">
        <v>49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39</v>
      </c>
      <c r="V95" t="s">
        <v>40</v>
      </c>
      <c r="W95" t="s">
        <v>41</v>
      </c>
      <c r="X95" t="s">
        <v>43</v>
      </c>
      <c r="Y95" t="s">
        <v>44</v>
      </c>
      <c r="Z95">
        <v>1819.45994532345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3">
      <c r="A96" t="s">
        <v>72</v>
      </c>
      <c r="B96">
        <v>2025</v>
      </c>
      <c r="C96">
        <v>1</v>
      </c>
      <c r="D96" t="s">
        <v>31</v>
      </c>
      <c r="E96" t="s">
        <v>49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39</v>
      </c>
      <c r="V96" t="s">
        <v>40</v>
      </c>
      <c r="W96" t="s">
        <v>41</v>
      </c>
      <c r="X96" t="s">
        <v>43</v>
      </c>
      <c r="Y96" t="s">
        <v>44</v>
      </c>
      <c r="Z96">
        <v>1819.45994532345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3">
      <c r="A97" t="s">
        <v>72</v>
      </c>
      <c r="B97">
        <v>2025</v>
      </c>
      <c r="C97">
        <v>1</v>
      </c>
      <c r="D97" t="s">
        <v>31</v>
      </c>
      <c r="E97" t="s">
        <v>49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39</v>
      </c>
      <c r="V97" t="s">
        <v>40</v>
      </c>
      <c r="W97" t="s">
        <v>41</v>
      </c>
      <c r="X97" t="s">
        <v>43</v>
      </c>
      <c r="Y97" t="s">
        <v>44</v>
      </c>
      <c r="Z97">
        <v>1819.45994532345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3">
      <c r="A98" t="s">
        <v>72</v>
      </c>
      <c r="B98">
        <v>2025</v>
      </c>
      <c r="C98">
        <v>1</v>
      </c>
      <c r="D98" t="s">
        <v>31</v>
      </c>
      <c r="E98" t="s">
        <v>49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39</v>
      </c>
      <c r="V98" t="s">
        <v>40</v>
      </c>
      <c r="W98" t="s">
        <v>41</v>
      </c>
      <c r="X98" t="s">
        <v>43</v>
      </c>
      <c r="Y98" t="s">
        <v>44</v>
      </c>
      <c r="Z98">
        <v>1819.45994532345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3">
      <c r="A99" t="s">
        <v>72</v>
      </c>
      <c r="B99">
        <v>2025</v>
      </c>
      <c r="C99">
        <v>1</v>
      </c>
      <c r="D99" t="s">
        <v>31</v>
      </c>
      <c r="E99" t="s">
        <v>49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39</v>
      </c>
      <c r="V99" t="s">
        <v>40</v>
      </c>
      <c r="W99" t="s">
        <v>41</v>
      </c>
      <c r="X99" t="s">
        <v>43</v>
      </c>
      <c r="Y99" t="s">
        <v>44</v>
      </c>
      <c r="Z99">
        <v>1819.45994532345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3">
      <c r="A100" t="s">
        <v>72</v>
      </c>
      <c r="B100">
        <v>2025</v>
      </c>
      <c r="C100">
        <v>1</v>
      </c>
      <c r="D100" t="s">
        <v>31</v>
      </c>
      <c r="E100" t="s">
        <v>49</v>
      </c>
      <c r="F100" t="s">
        <v>78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53</v>
      </c>
      <c r="Q100" t="s">
        <v>37</v>
      </c>
      <c r="R100">
        <v>1</v>
      </c>
      <c r="S100" t="s">
        <v>38</v>
      </c>
      <c r="T100" t="s">
        <v>52</v>
      </c>
      <c r="V100" t="s">
        <v>40</v>
      </c>
      <c r="W100" t="s">
        <v>41</v>
      </c>
      <c r="X100" t="s">
        <v>43</v>
      </c>
      <c r="Y100" t="s">
        <v>44</v>
      </c>
      <c r="Z100">
        <v>10888.5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34.235472404890743</v>
      </c>
    </row>
    <row r="101" spans="1:36" x14ac:dyDescent="0.3">
      <c r="A101" t="s">
        <v>72</v>
      </c>
      <c r="B101">
        <v>2025</v>
      </c>
      <c r="C101">
        <v>1</v>
      </c>
      <c r="D101" t="s">
        <v>31</v>
      </c>
      <c r="E101" t="s">
        <v>49</v>
      </c>
      <c r="F101" t="s">
        <v>78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53</v>
      </c>
      <c r="Q101" t="s">
        <v>37</v>
      </c>
      <c r="R101">
        <v>1</v>
      </c>
      <c r="S101" t="s">
        <v>38</v>
      </c>
      <c r="T101" t="s">
        <v>52</v>
      </c>
      <c r="V101" t="s">
        <v>40</v>
      </c>
      <c r="W101" t="s">
        <v>41</v>
      </c>
      <c r="X101" t="s">
        <v>43</v>
      </c>
      <c r="Y101" t="s">
        <v>44</v>
      </c>
      <c r="Z101">
        <v>10888.5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50.029660987459096</v>
      </c>
    </row>
    <row r="102" spans="1:36" x14ac:dyDescent="0.3">
      <c r="A102" t="s">
        <v>72</v>
      </c>
      <c r="B102">
        <v>2025</v>
      </c>
      <c r="C102">
        <v>1</v>
      </c>
      <c r="D102" t="s">
        <v>31</v>
      </c>
      <c r="E102" t="s">
        <v>49</v>
      </c>
      <c r="F102" t="s">
        <v>78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53</v>
      </c>
      <c r="Q102" t="s">
        <v>37</v>
      </c>
      <c r="R102">
        <v>1</v>
      </c>
      <c r="S102" t="s">
        <v>38</v>
      </c>
      <c r="T102" t="s">
        <v>52</v>
      </c>
      <c r="V102" t="s">
        <v>40</v>
      </c>
      <c r="W102" t="s">
        <v>41</v>
      </c>
      <c r="X102" t="s">
        <v>43</v>
      </c>
      <c r="Y102" t="s">
        <v>44</v>
      </c>
      <c r="Z102">
        <v>10888.5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16.034988653418214</v>
      </c>
    </row>
    <row r="103" spans="1:36" x14ac:dyDescent="0.3">
      <c r="A103" t="s">
        <v>72</v>
      </c>
      <c r="B103">
        <v>2025</v>
      </c>
      <c r="C103">
        <v>1</v>
      </c>
      <c r="D103" t="s">
        <v>31</v>
      </c>
      <c r="E103" t="s">
        <v>49</v>
      </c>
      <c r="F103" t="s">
        <v>78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53</v>
      </c>
      <c r="Q103" t="s">
        <v>37</v>
      </c>
      <c r="R103">
        <v>1</v>
      </c>
      <c r="S103" t="s">
        <v>38</v>
      </c>
      <c r="T103" t="s">
        <v>52</v>
      </c>
      <c r="V103" t="s">
        <v>40</v>
      </c>
      <c r="W103" t="s">
        <v>41</v>
      </c>
      <c r="X103" t="s">
        <v>43</v>
      </c>
      <c r="Y103" t="s">
        <v>44</v>
      </c>
      <c r="Z103">
        <v>10888.5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185.99926208820051</v>
      </c>
    </row>
    <row r="104" spans="1:36" x14ac:dyDescent="0.3">
      <c r="A104" t="s">
        <v>72</v>
      </c>
      <c r="B104">
        <v>2025</v>
      </c>
      <c r="C104">
        <v>1</v>
      </c>
      <c r="D104" t="s">
        <v>31</v>
      </c>
      <c r="E104" t="s">
        <v>49</v>
      </c>
      <c r="F104" t="s">
        <v>78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53</v>
      </c>
      <c r="Q104" t="s">
        <v>37</v>
      </c>
      <c r="R104">
        <v>1</v>
      </c>
      <c r="S104" t="s">
        <v>38</v>
      </c>
      <c r="T104" t="s">
        <v>52</v>
      </c>
      <c r="V104" t="s">
        <v>40</v>
      </c>
      <c r="W104" t="s">
        <v>41</v>
      </c>
      <c r="X104" t="s">
        <v>43</v>
      </c>
      <c r="Y104" t="s">
        <v>44</v>
      </c>
      <c r="Z104">
        <v>10888.5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275.434275857329</v>
      </c>
    </row>
    <row r="105" spans="1:36" x14ac:dyDescent="0.3">
      <c r="A105" t="s">
        <v>72</v>
      </c>
      <c r="B105">
        <v>2025</v>
      </c>
      <c r="C105">
        <v>1</v>
      </c>
      <c r="D105" t="s">
        <v>31</v>
      </c>
      <c r="E105" t="s">
        <v>49</v>
      </c>
      <c r="F105" t="s">
        <v>78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53</v>
      </c>
      <c r="Q105" t="s">
        <v>37</v>
      </c>
      <c r="R105">
        <v>1</v>
      </c>
      <c r="S105" t="s">
        <v>38</v>
      </c>
      <c r="T105" t="s">
        <v>52</v>
      </c>
      <c r="V105" t="s">
        <v>40</v>
      </c>
      <c r="W105" t="s">
        <v>41</v>
      </c>
      <c r="X105" t="s">
        <v>43</v>
      </c>
      <c r="Y105" t="s">
        <v>44</v>
      </c>
      <c r="Z105">
        <v>10888.5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273.12819281112422</v>
      </c>
    </row>
    <row r="106" spans="1:36" x14ac:dyDescent="0.3">
      <c r="A106" t="s">
        <v>72</v>
      </c>
      <c r="B106">
        <v>2025</v>
      </c>
      <c r="C106">
        <v>1</v>
      </c>
      <c r="D106" t="s">
        <v>31</v>
      </c>
      <c r="E106" t="s">
        <v>49</v>
      </c>
      <c r="F106" t="s">
        <v>78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53</v>
      </c>
      <c r="Q106" t="s">
        <v>37</v>
      </c>
      <c r="R106">
        <v>1</v>
      </c>
      <c r="S106" t="s">
        <v>38</v>
      </c>
      <c r="T106" t="s">
        <v>52</v>
      </c>
      <c r="V106" t="s">
        <v>40</v>
      </c>
      <c r="W106" t="s">
        <v>41</v>
      </c>
      <c r="X106" t="s">
        <v>43</v>
      </c>
      <c r="Y106" t="s">
        <v>44</v>
      </c>
      <c r="Z106">
        <v>10888.5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394.5749766634716</v>
      </c>
    </row>
    <row r="107" spans="1:36" x14ac:dyDescent="0.3">
      <c r="A107" t="s">
        <v>72</v>
      </c>
      <c r="B107">
        <v>2025</v>
      </c>
      <c r="C107">
        <v>1</v>
      </c>
      <c r="D107" t="s">
        <v>31</v>
      </c>
      <c r="E107" t="s">
        <v>49</v>
      </c>
      <c r="F107" t="s">
        <v>78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53</v>
      </c>
      <c r="Q107" t="s">
        <v>37</v>
      </c>
      <c r="R107">
        <v>1</v>
      </c>
      <c r="S107" t="s">
        <v>38</v>
      </c>
      <c r="T107" t="s">
        <v>52</v>
      </c>
      <c r="V107" t="s">
        <v>40</v>
      </c>
      <c r="W107" t="s">
        <v>41</v>
      </c>
      <c r="X107" t="s">
        <v>43</v>
      </c>
      <c r="Y107" t="s">
        <v>44</v>
      </c>
      <c r="Z107">
        <v>10888.5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3">
      <c r="A108" t="s">
        <v>72</v>
      </c>
      <c r="B108">
        <v>2025</v>
      </c>
      <c r="C108">
        <v>1</v>
      </c>
      <c r="D108" t="s">
        <v>31</v>
      </c>
      <c r="E108" t="s">
        <v>49</v>
      </c>
      <c r="F108" t="s">
        <v>78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53</v>
      </c>
      <c r="Q108" t="s">
        <v>37</v>
      </c>
      <c r="R108">
        <v>1</v>
      </c>
      <c r="S108" t="s">
        <v>38</v>
      </c>
      <c r="T108" t="s">
        <v>52</v>
      </c>
      <c r="V108" t="s">
        <v>40</v>
      </c>
      <c r="W108" t="s">
        <v>41</v>
      </c>
      <c r="X108" t="s">
        <v>43</v>
      </c>
      <c r="Y108" t="s">
        <v>44</v>
      </c>
      <c r="Z108">
        <v>10888.5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3">
      <c r="A109" t="s">
        <v>72</v>
      </c>
      <c r="B109">
        <v>2025</v>
      </c>
      <c r="C109">
        <v>1</v>
      </c>
      <c r="D109" t="s">
        <v>31</v>
      </c>
      <c r="E109" t="s">
        <v>49</v>
      </c>
      <c r="F109" t="s">
        <v>78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53</v>
      </c>
      <c r="Q109" t="s">
        <v>37</v>
      </c>
      <c r="R109">
        <v>1</v>
      </c>
      <c r="S109" t="s">
        <v>38</v>
      </c>
      <c r="T109" t="s">
        <v>52</v>
      </c>
      <c r="V109" t="s">
        <v>40</v>
      </c>
      <c r="W109" t="s">
        <v>41</v>
      </c>
      <c r="X109" t="s">
        <v>43</v>
      </c>
      <c r="Y109" t="s">
        <v>44</v>
      </c>
      <c r="Z109">
        <v>10888.5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3">
      <c r="A110" t="s">
        <v>72</v>
      </c>
      <c r="B110">
        <v>2025</v>
      </c>
      <c r="C110">
        <v>1</v>
      </c>
      <c r="D110" t="s">
        <v>31</v>
      </c>
      <c r="E110" t="s">
        <v>49</v>
      </c>
      <c r="F110" t="s">
        <v>78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53</v>
      </c>
      <c r="Q110" t="s">
        <v>37</v>
      </c>
      <c r="R110">
        <v>1</v>
      </c>
      <c r="S110" t="s">
        <v>38</v>
      </c>
      <c r="T110" t="s">
        <v>52</v>
      </c>
      <c r="V110" t="s">
        <v>40</v>
      </c>
      <c r="W110" t="s">
        <v>41</v>
      </c>
      <c r="X110" t="s">
        <v>43</v>
      </c>
      <c r="Y110" t="s">
        <v>44</v>
      </c>
      <c r="Z110">
        <v>10888.5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3">
      <c r="A111" t="s">
        <v>72</v>
      </c>
      <c r="B111">
        <v>2025</v>
      </c>
      <c r="C111">
        <v>1</v>
      </c>
      <c r="D111" t="s">
        <v>31</v>
      </c>
      <c r="E111" t="s">
        <v>49</v>
      </c>
      <c r="F111" t="s">
        <v>78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53</v>
      </c>
      <c r="Q111" t="s">
        <v>37</v>
      </c>
      <c r="R111">
        <v>1</v>
      </c>
      <c r="S111" t="s">
        <v>38</v>
      </c>
      <c r="T111" t="s">
        <v>52</v>
      </c>
      <c r="V111" t="s">
        <v>40</v>
      </c>
      <c r="W111" t="s">
        <v>41</v>
      </c>
      <c r="X111" t="s">
        <v>43</v>
      </c>
      <c r="Y111" t="s">
        <v>44</v>
      </c>
      <c r="Z111">
        <v>10888.5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3">
      <c r="A112" t="s">
        <v>72</v>
      </c>
      <c r="B112">
        <v>2025</v>
      </c>
      <c r="C112">
        <v>1</v>
      </c>
      <c r="D112" t="s">
        <v>31</v>
      </c>
      <c r="E112" t="s">
        <v>49</v>
      </c>
      <c r="F112" t="s">
        <v>78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53</v>
      </c>
      <c r="Q112" t="s">
        <v>37</v>
      </c>
      <c r="R112">
        <v>1</v>
      </c>
      <c r="S112" t="s">
        <v>38</v>
      </c>
      <c r="T112" t="s">
        <v>52</v>
      </c>
      <c r="V112" t="s">
        <v>40</v>
      </c>
      <c r="W112" t="s">
        <v>41</v>
      </c>
      <c r="X112" t="s">
        <v>43</v>
      </c>
      <c r="Y112" t="s">
        <v>44</v>
      </c>
      <c r="Z112">
        <v>10888.5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3">
      <c r="A113" t="s">
        <v>72</v>
      </c>
      <c r="B113">
        <v>2025</v>
      </c>
      <c r="C113">
        <v>1</v>
      </c>
      <c r="D113" t="s">
        <v>31</v>
      </c>
      <c r="E113" t="s">
        <v>49</v>
      </c>
      <c r="F113" t="s">
        <v>78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53</v>
      </c>
      <c r="Q113" t="s">
        <v>37</v>
      </c>
      <c r="R113">
        <v>1</v>
      </c>
      <c r="S113" t="s">
        <v>38</v>
      </c>
      <c r="T113" t="s">
        <v>52</v>
      </c>
      <c r="V113" t="s">
        <v>40</v>
      </c>
      <c r="W113" t="s">
        <v>41</v>
      </c>
      <c r="X113" t="s">
        <v>43</v>
      </c>
      <c r="Y113" t="s">
        <v>44</v>
      </c>
      <c r="Z113">
        <v>10888.5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3">
      <c r="A114" t="s">
        <v>72</v>
      </c>
      <c r="B114">
        <v>2025</v>
      </c>
      <c r="C114">
        <v>1</v>
      </c>
      <c r="D114" t="s">
        <v>31</v>
      </c>
      <c r="E114" t="s">
        <v>49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39</v>
      </c>
      <c r="V114" t="s">
        <v>40</v>
      </c>
      <c r="W114" t="s">
        <v>41</v>
      </c>
      <c r="X114" t="s">
        <v>43</v>
      </c>
      <c r="Y114" t="s">
        <v>44</v>
      </c>
      <c r="Z114">
        <v>249986.1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786.00286799432956</v>
      </c>
    </row>
    <row r="115" spans="1:36" x14ac:dyDescent="0.3">
      <c r="A115" t="s">
        <v>72</v>
      </c>
      <c r="B115">
        <v>2025</v>
      </c>
      <c r="C115">
        <v>1</v>
      </c>
      <c r="D115" t="s">
        <v>31</v>
      </c>
      <c r="E115" t="s">
        <v>49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39</v>
      </c>
      <c r="V115" t="s">
        <v>40</v>
      </c>
      <c r="W115" t="s">
        <v>41</v>
      </c>
      <c r="X115" t="s">
        <v>43</v>
      </c>
      <c r="Y115" t="s">
        <v>44</v>
      </c>
      <c r="Z115">
        <v>249986.1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1148.6173333863294</v>
      </c>
    </row>
    <row r="116" spans="1:36" x14ac:dyDescent="0.3">
      <c r="A116" t="s">
        <v>72</v>
      </c>
      <c r="B116">
        <v>2025</v>
      </c>
      <c r="C116">
        <v>1</v>
      </c>
      <c r="D116" t="s">
        <v>31</v>
      </c>
      <c r="E116" t="s">
        <v>49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39</v>
      </c>
      <c r="V116" t="s">
        <v>40</v>
      </c>
      <c r="W116" t="s">
        <v>41</v>
      </c>
      <c r="X116" t="s">
        <v>43</v>
      </c>
      <c r="Y116" t="s">
        <v>44</v>
      </c>
      <c r="Z116">
        <v>249986.1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368.14292850367553</v>
      </c>
    </row>
    <row r="117" spans="1:36" x14ac:dyDescent="0.3">
      <c r="A117" t="s">
        <v>72</v>
      </c>
      <c r="B117">
        <v>2025</v>
      </c>
      <c r="C117">
        <v>1</v>
      </c>
      <c r="D117" t="s">
        <v>31</v>
      </c>
      <c r="E117" t="s">
        <v>49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39</v>
      </c>
      <c r="V117" t="s">
        <v>40</v>
      </c>
      <c r="W117" t="s">
        <v>41</v>
      </c>
      <c r="X117" t="s">
        <v>43</v>
      </c>
      <c r="Y117" t="s">
        <v>44</v>
      </c>
      <c r="Z117">
        <v>249986.1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4270.3062986000914</v>
      </c>
    </row>
    <row r="118" spans="1:36" x14ac:dyDescent="0.3">
      <c r="A118" t="s">
        <v>72</v>
      </c>
      <c r="B118">
        <v>2025</v>
      </c>
      <c r="C118">
        <v>1</v>
      </c>
      <c r="D118" t="s">
        <v>31</v>
      </c>
      <c r="E118" t="s">
        <v>49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39</v>
      </c>
      <c r="V118" t="s">
        <v>40</v>
      </c>
      <c r="W118" t="s">
        <v>41</v>
      </c>
      <c r="X118" t="s">
        <v>43</v>
      </c>
      <c r="Y118" t="s">
        <v>44</v>
      </c>
      <c r="Z118">
        <v>249986.1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6323.6203726773956</v>
      </c>
    </row>
    <row r="119" spans="1:36" x14ac:dyDescent="0.3">
      <c r="A119" t="s">
        <v>72</v>
      </c>
      <c r="B119">
        <v>2025</v>
      </c>
      <c r="C119">
        <v>1</v>
      </c>
      <c r="D119" t="s">
        <v>31</v>
      </c>
      <c r="E119" t="s">
        <v>49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39</v>
      </c>
      <c r="V119" t="s">
        <v>40</v>
      </c>
      <c r="W119" t="s">
        <v>41</v>
      </c>
      <c r="X119" t="s">
        <v>43</v>
      </c>
      <c r="Y119" t="s">
        <v>44</v>
      </c>
      <c r="Z119">
        <v>249986.1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6270.6756413556486</v>
      </c>
    </row>
    <row r="120" spans="1:36" x14ac:dyDescent="0.3">
      <c r="A120" t="s">
        <v>72</v>
      </c>
      <c r="B120">
        <v>2025</v>
      </c>
      <c r="C120">
        <v>1</v>
      </c>
      <c r="D120" t="s">
        <v>31</v>
      </c>
      <c r="E120" t="s">
        <v>49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39</v>
      </c>
      <c r="V120" t="s">
        <v>40</v>
      </c>
      <c r="W120" t="s">
        <v>41</v>
      </c>
      <c r="X120" t="s">
        <v>43</v>
      </c>
      <c r="Y120" t="s">
        <v>44</v>
      </c>
      <c r="Z120">
        <v>249986.1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9058.9392086781718</v>
      </c>
    </row>
    <row r="121" spans="1:36" x14ac:dyDescent="0.3">
      <c r="A121" t="s">
        <v>72</v>
      </c>
      <c r="B121">
        <v>2025</v>
      </c>
      <c r="C121">
        <v>1</v>
      </c>
      <c r="D121" t="s">
        <v>31</v>
      </c>
      <c r="E121" t="s">
        <v>49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39</v>
      </c>
      <c r="V121" t="s">
        <v>40</v>
      </c>
      <c r="W121" t="s">
        <v>41</v>
      </c>
      <c r="X121" t="s">
        <v>43</v>
      </c>
      <c r="Y121" t="s">
        <v>44</v>
      </c>
      <c r="Z121">
        <v>249986.1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3">
      <c r="A122" t="s">
        <v>72</v>
      </c>
      <c r="B122">
        <v>2025</v>
      </c>
      <c r="C122">
        <v>1</v>
      </c>
      <c r="D122" t="s">
        <v>31</v>
      </c>
      <c r="E122" t="s">
        <v>49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39</v>
      </c>
      <c r="V122" t="s">
        <v>40</v>
      </c>
      <c r="W122" t="s">
        <v>41</v>
      </c>
      <c r="X122" t="s">
        <v>43</v>
      </c>
      <c r="Y122" t="s">
        <v>44</v>
      </c>
      <c r="Z122">
        <v>249986.1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3">
      <c r="A123" t="s">
        <v>72</v>
      </c>
      <c r="B123">
        <v>2025</v>
      </c>
      <c r="C123">
        <v>1</v>
      </c>
      <c r="D123" t="s">
        <v>31</v>
      </c>
      <c r="E123" t="s">
        <v>49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39</v>
      </c>
      <c r="V123" t="s">
        <v>40</v>
      </c>
      <c r="W123" t="s">
        <v>41</v>
      </c>
      <c r="X123" t="s">
        <v>43</v>
      </c>
      <c r="Y123" t="s">
        <v>44</v>
      </c>
      <c r="Z123">
        <v>249986.1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3">
      <c r="A124" t="s">
        <v>72</v>
      </c>
      <c r="B124">
        <v>2025</v>
      </c>
      <c r="C124">
        <v>1</v>
      </c>
      <c r="D124" t="s">
        <v>31</v>
      </c>
      <c r="E124" t="s">
        <v>49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39</v>
      </c>
      <c r="V124" t="s">
        <v>40</v>
      </c>
      <c r="W124" t="s">
        <v>41</v>
      </c>
      <c r="X124" t="s">
        <v>43</v>
      </c>
      <c r="Y124" t="s">
        <v>44</v>
      </c>
      <c r="Z124">
        <v>249986.1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3">
      <c r="A125" t="s">
        <v>72</v>
      </c>
      <c r="B125">
        <v>2025</v>
      </c>
      <c r="C125">
        <v>1</v>
      </c>
      <c r="D125" t="s">
        <v>31</v>
      </c>
      <c r="E125" t="s">
        <v>49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39</v>
      </c>
      <c r="V125" t="s">
        <v>40</v>
      </c>
      <c r="W125" t="s">
        <v>41</v>
      </c>
      <c r="X125" t="s">
        <v>43</v>
      </c>
      <c r="Y125" t="s">
        <v>44</v>
      </c>
      <c r="Z125">
        <v>249986.1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3">
      <c r="A126" t="s">
        <v>72</v>
      </c>
      <c r="B126">
        <v>2025</v>
      </c>
      <c r="C126">
        <v>1</v>
      </c>
      <c r="D126" t="s">
        <v>31</v>
      </c>
      <c r="E126" t="s">
        <v>49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39</v>
      </c>
      <c r="V126" t="s">
        <v>40</v>
      </c>
      <c r="W126" t="s">
        <v>41</v>
      </c>
      <c r="X126" t="s">
        <v>43</v>
      </c>
      <c r="Y126" t="s">
        <v>44</v>
      </c>
      <c r="Z126">
        <v>249986.1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3">
      <c r="A127" t="s">
        <v>72</v>
      </c>
      <c r="B127">
        <v>2025</v>
      </c>
      <c r="C127">
        <v>1</v>
      </c>
      <c r="D127" t="s">
        <v>31</v>
      </c>
      <c r="E127" t="s">
        <v>49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39</v>
      </c>
      <c r="V127" t="s">
        <v>40</v>
      </c>
      <c r="W127" t="s">
        <v>41</v>
      </c>
      <c r="X127" t="s">
        <v>43</v>
      </c>
      <c r="Y127" t="s">
        <v>44</v>
      </c>
      <c r="Z127">
        <v>249986.1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3">
      <c r="A128" t="s">
        <v>72</v>
      </c>
      <c r="B128">
        <v>2025</v>
      </c>
      <c r="C128">
        <v>1</v>
      </c>
      <c r="D128" t="s">
        <v>31</v>
      </c>
      <c r="E128" t="s">
        <v>49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2</v>
      </c>
      <c r="S128" t="s">
        <v>38</v>
      </c>
      <c r="T128" t="s">
        <v>52</v>
      </c>
      <c r="V128" t="s">
        <v>40</v>
      </c>
      <c r="W128" t="s">
        <v>41</v>
      </c>
      <c r="X128" t="s">
        <v>43</v>
      </c>
      <c r="Y128" t="s">
        <v>44</v>
      </c>
      <c r="Z128">
        <v>4302.5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13.527861507282216</v>
      </c>
    </row>
    <row r="129" spans="1:36" x14ac:dyDescent="0.3">
      <c r="A129" t="s">
        <v>72</v>
      </c>
      <c r="B129">
        <v>2025</v>
      </c>
      <c r="C129">
        <v>1</v>
      </c>
      <c r="D129" t="s">
        <v>31</v>
      </c>
      <c r="E129" t="s">
        <v>49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2</v>
      </c>
      <c r="S129" t="s">
        <v>38</v>
      </c>
      <c r="T129" t="s">
        <v>52</v>
      </c>
      <c r="V129" t="s">
        <v>40</v>
      </c>
      <c r="W129" t="s">
        <v>41</v>
      </c>
      <c r="X129" t="s">
        <v>43</v>
      </c>
      <c r="Y129" t="s">
        <v>44</v>
      </c>
      <c r="Z129">
        <v>4302.5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19.768803453050719</v>
      </c>
    </row>
    <row r="130" spans="1:36" x14ac:dyDescent="0.3">
      <c r="A130" t="s">
        <v>72</v>
      </c>
      <c r="B130">
        <v>2025</v>
      </c>
      <c r="C130">
        <v>1</v>
      </c>
      <c r="D130" t="s">
        <v>31</v>
      </c>
      <c r="E130" t="s">
        <v>49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2</v>
      </c>
      <c r="S130" t="s">
        <v>38</v>
      </c>
      <c r="T130" t="s">
        <v>52</v>
      </c>
      <c r="V130" t="s">
        <v>40</v>
      </c>
      <c r="W130" t="s">
        <v>41</v>
      </c>
      <c r="X130" t="s">
        <v>43</v>
      </c>
      <c r="Y130" t="s">
        <v>44</v>
      </c>
      <c r="Z130">
        <v>4302.5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6.3360920862682519</v>
      </c>
    </row>
    <row r="131" spans="1:36" x14ac:dyDescent="0.3">
      <c r="A131" t="s">
        <v>72</v>
      </c>
      <c r="B131">
        <v>2025</v>
      </c>
      <c r="C131">
        <v>1</v>
      </c>
      <c r="D131" t="s">
        <v>31</v>
      </c>
      <c r="E131" t="s">
        <v>49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2</v>
      </c>
      <c r="S131" t="s">
        <v>38</v>
      </c>
      <c r="T131" t="s">
        <v>52</v>
      </c>
      <c r="V131" t="s">
        <v>40</v>
      </c>
      <c r="W131" t="s">
        <v>41</v>
      </c>
      <c r="X131" t="s">
        <v>43</v>
      </c>
      <c r="Y131" t="s">
        <v>44</v>
      </c>
      <c r="Z131">
        <v>4302.5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73.496057779720132</v>
      </c>
    </row>
    <row r="132" spans="1:36" x14ac:dyDescent="0.3">
      <c r="A132" t="s">
        <v>72</v>
      </c>
      <c r="B132">
        <v>2025</v>
      </c>
      <c r="C132">
        <v>1</v>
      </c>
      <c r="D132" t="s">
        <v>31</v>
      </c>
      <c r="E132" t="s">
        <v>49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2</v>
      </c>
      <c r="S132" t="s">
        <v>38</v>
      </c>
      <c r="T132" t="s">
        <v>52</v>
      </c>
      <c r="V132" t="s">
        <v>40</v>
      </c>
      <c r="W132" t="s">
        <v>41</v>
      </c>
      <c r="X132" t="s">
        <v>43</v>
      </c>
      <c r="Y132" t="s">
        <v>44</v>
      </c>
      <c r="Z132">
        <v>4302.5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108.8355578707956</v>
      </c>
    </row>
    <row r="133" spans="1:36" x14ac:dyDescent="0.3">
      <c r="A133" t="s">
        <v>72</v>
      </c>
      <c r="B133">
        <v>2025</v>
      </c>
      <c r="C133">
        <v>1</v>
      </c>
      <c r="D133" t="s">
        <v>31</v>
      </c>
      <c r="E133" t="s">
        <v>49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2</v>
      </c>
      <c r="S133" t="s">
        <v>38</v>
      </c>
      <c r="T133" t="s">
        <v>52</v>
      </c>
      <c r="V133" t="s">
        <v>40</v>
      </c>
      <c r="W133" t="s">
        <v>41</v>
      </c>
      <c r="X133" t="s">
        <v>43</v>
      </c>
      <c r="Y133" t="s">
        <v>44</v>
      </c>
      <c r="Z133">
        <v>4302.5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107.92432838038866</v>
      </c>
    </row>
    <row r="134" spans="1:36" x14ac:dyDescent="0.3">
      <c r="A134" t="s">
        <v>72</v>
      </c>
      <c r="B134">
        <v>2025</v>
      </c>
      <c r="C134">
        <v>1</v>
      </c>
      <c r="D134" t="s">
        <v>31</v>
      </c>
      <c r="E134" t="s">
        <v>49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2</v>
      </c>
      <c r="S134" t="s">
        <v>38</v>
      </c>
      <c r="T134" t="s">
        <v>52</v>
      </c>
      <c r="V134" t="s">
        <v>40</v>
      </c>
      <c r="W134" t="s">
        <v>41</v>
      </c>
      <c r="X134" t="s">
        <v>43</v>
      </c>
      <c r="Y134" t="s">
        <v>44</v>
      </c>
      <c r="Z134">
        <v>4302.5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155.91301254484884</v>
      </c>
    </row>
    <row r="135" spans="1:36" x14ac:dyDescent="0.3">
      <c r="A135" t="s">
        <v>72</v>
      </c>
      <c r="B135">
        <v>2025</v>
      </c>
      <c r="C135">
        <v>1</v>
      </c>
      <c r="D135" t="s">
        <v>31</v>
      </c>
      <c r="E135" t="s">
        <v>49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2</v>
      </c>
      <c r="S135" t="s">
        <v>38</v>
      </c>
      <c r="T135" t="s">
        <v>52</v>
      </c>
      <c r="V135" t="s">
        <v>40</v>
      </c>
      <c r="W135" t="s">
        <v>41</v>
      </c>
      <c r="X135" t="s">
        <v>43</v>
      </c>
      <c r="Y135" t="s">
        <v>44</v>
      </c>
      <c r="Z135">
        <v>4302.5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3">
      <c r="A136" t="s">
        <v>72</v>
      </c>
      <c r="B136">
        <v>2025</v>
      </c>
      <c r="C136">
        <v>1</v>
      </c>
      <c r="D136" t="s">
        <v>31</v>
      </c>
      <c r="E136" t="s">
        <v>49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2</v>
      </c>
      <c r="S136" t="s">
        <v>38</v>
      </c>
      <c r="T136" t="s">
        <v>52</v>
      </c>
      <c r="V136" t="s">
        <v>40</v>
      </c>
      <c r="W136" t="s">
        <v>41</v>
      </c>
      <c r="X136" t="s">
        <v>43</v>
      </c>
      <c r="Y136" t="s">
        <v>44</v>
      </c>
      <c r="Z136">
        <v>4302.5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3">
      <c r="A137" t="s">
        <v>72</v>
      </c>
      <c r="B137">
        <v>2025</v>
      </c>
      <c r="C137">
        <v>1</v>
      </c>
      <c r="D137" t="s">
        <v>31</v>
      </c>
      <c r="E137" t="s">
        <v>49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2</v>
      </c>
      <c r="S137" t="s">
        <v>38</v>
      </c>
      <c r="T137" t="s">
        <v>52</v>
      </c>
      <c r="V137" t="s">
        <v>40</v>
      </c>
      <c r="W137" t="s">
        <v>41</v>
      </c>
      <c r="X137" t="s">
        <v>43</v>
      </c>
      <c r="Y137" t="s">
        <v>44</v>
      </c>
      <c r="Z137">
        <v>4302.5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3">
      <c r="A138" t="s">
        <v>72</v>
      </c>
      <c r="B138">
        <v>2025</v>
      </c>
      <c r="C138">
        <v>1</v>
      </c>
      <c r="D138" t="s">
        <v>31</v>
      </c>
      <c r="E138" t="s">
        <v>49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2</v>
      </c>
      <c r="S138" t="s">
        <v>38</v>
      </c>
      <c r="T138" t="s">
        <v>52</v>
      </c>
      <c r="V138" t="s">
        <v>40</v>
      </c>
      <c r="W138" t="s">
        <v>41</v>
      </c>
      <c r="X138" t="s">
        <v>43</v>
      </c>
      <c r="Y138" t="s">
        <v>44</v>
      </c>
      <c r="Z138">
        <v>4302.5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3">
      <c r="A139" t="s">
        <v>72</v>
      </c>
      <c r="B139">
        <v>2025</v>
      </c>
      <c r="C139">
        <v>1</v>
      </c>
      <c r="D139" t="s">
        <v>31</v>
      </c>
      <c r="E139" t="s">
        <v>49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2</v>
      </c>
      <c r="S139" t="s">
        <v>38</v>
      </c>
      <c r="T139" t="s">
        <v>52</v>
      </c>
      <c r="V139" t="s">
        <v>40</v>
      </c>
      <c r="W139" t="s">
        <v>41</v>
      </c>
      <c r="X139" t="s">
        <v>43</v>
      </c>
      <c r="Y139" t="s">
        <v>44</v>
      </c>
      <c r="Z139">
        <v>4302.5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3">
      <c r="A140" t="s">
        <v>72</v>
      </c>
      <c r="B140">
        <v>2025</v>
      </c>
      <c r="C140">
        <v>1</v>
      </c>
      <c r="D140" t="s">
        <v>31</v>
      </c>
      <c r="E140" t="s">
        <v>49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2</v>
      </c>
      <c r="S140" t="s">
        <v>38</v>
      </c>
      <c r="T140" t="s">
        <v>52</v>
      </c>
      <c r="V140" t="s">
        <v>40</v>
      </c>
      <c r="W140" t="s">
        <v>41</v>
      </c>
      <c r="X140" t="s">
        <v>43</v>
      </c>
      <c r="Y140" t="s">
        <v>44</v>
      </c>
      <c r="Z140">
        <v>4302.5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3">
      <c r="A141" t="s">
        <v>72</v>
      </c>
      <c r="B141">
        <v>2025</v>
      </c>
      <c r="C141">
        <v>1</v>
      </c>
      <c r="D141" t="s">
        <v>31</v>
      </c>
      <c r="E141" t="s">
        <v>49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2</v>
      </c>
      <c r="S141" t="s">
        <v>38</v>
      </c>
      <c r="T141" t="s">
        <v>52</v>
      </c>
      <c r="V141" t="s">
        <v>40</v>
      </c>
      <c r="W141" t="s">
        <v>41</v>
      </c>
      <c r="X141" t="s">
        <v>43</v>
      </c>
      <c r="Y141" t="s">
        <v>44</v>
      </c>
      <c r="Z141">
        <v>4302.5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3">
      <c r="A142" t="s">
        <v>72</v>
      </c>
      <c r="B142">
        <v>2025</v>
      </c>
      <c r="C142">
        <v>1</v>
      </c>
      <c r="D142" t="s">
        <v>31</v>
      </c>
      <c r="E142" t="s">
        <v>49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39</v>
      </c>
      <c r="V142" t="s">
        <v>40</v>
      </c>
      <c r="W142" t="s">
        <v>41</v>
      </c>
      <c r="X142" t="s">
        <v>43</v>
      </c>
      <c r="Y142" t="s">
        <v>44</v>
      </c>
      <c r="Z142">
        <v>37849.599999999999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119.00619335410319</v>
      </c>
    </row>
    <row r="143" spans="1:36" x14ac:dyDescent="0.3">
      <c r="A143" t="s">
        <v>72</v>
      </c>
      <c r="B143">
        <v>2025</v>
      </c>
      <c r="C143">
        <v>1</v>
      </c>
      <c r="D143" t="s">
        <v>31</v>
      </c>
      <c r="E143" t="s">
        <v>49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39</v>
      </c>
      <c r="V143" t="s">
        <v>40</v>
      </c>
      <c r="W143" t="s">
        <v>41</v>
      </c>
      <c r="X143" t="s">
        <v>43</v>
      </c>
      <c r="Y143" t="s">
        <v>44</v>
      </c>
      <c r="Z143">
        <v>37849.599999999999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173.90849579932328</v>
      </c>
    </row>
    <row r="144" spans="1:36" x14ac:dyDescent="0.3">
      <c r="A144" t="s">
        <v>72</v>
      </c>
      <c r="B144">
        <v>2025</v>
      </c>
      <c r="C144">
        <v>1</v>
      </c>
      <c r="D144" t="s">
        <v>31</v>
      </c>
      <c r="E144" t="s">
        <v>49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39</v>
      </c>
      <c r="V144" t="s">
        <v>40</v>
      </c>
      <c r="W144" t="s">
        <v>41</v>
      </c>
      <c r="X144" t="s">
        <v>43</v>
      </c>
      <c r="Y144" t="s">
        <v>44</v>
      </c>
      <c r="Z144">
        <v>37849.599999999999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55.739349454600536</v>
      </c>
    </row>
    <row r="145" spans="1:36" x14ac:dyDescent="0.3">
      <c r="A145" t="s">
        <v>72</v>
      </c>
      <c r="B145">
        <v>2025</v>
      </c>
      <c r="C145">
        <v>1</v>
      </c>
      <c r="D145" t="s">
        <v>31</v>
      </c>
      <c r="E145" t="s">
        <v>49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39</v>
      </c>
      <c r="V145" t="s">
        <v>40</v>
      </c>
      <c r="W145" t="s">
        <v>41</v>
      </c>
      <c r="X145" t="s">
        <v>43</v>
      </c>
      <c r="Y145" t="s">
        <v>44</v>
      </c>
      <c r="Z145">
        <v>37849.599999999999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646.55348949199185</v>
      </c>
    </row>
    <row r="146" spans="1:36" x14ac:dyDescent="0.3">
      <c r="A146" t="s">
        <v>72</v>
      </c>
      <c r="B146">
        <v>2025</v>
      </c>
      <c r="C146">
        <v>1</v>
      </c>
      <c r="D146" t="s">
        <v>31</v>
      </c>
      <c r="E146" t="s">
        <v>49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39</v>
      </c>
      <c r="V146" t="s">
        <v>40</v>
      </c>
      <c r="W146" t="s">
        <v>41</v>
      </c>
      <c r="X146" t="s">
        <v>43</v>
      </c>
      <c r="Y146" t="s">
        <v>44</v>
      </c>
      <c r="Z146">
        <v>37849.599999999999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957.43924025251943</v>
      </c>
    </row>
    <row r="147" spans="1:36" x14ac:dyDescent="0.3">
      <c r="A147" t="s">
        <v>72</v>
      </c>
      <c r="B147">
        <v>2025</v>
      </c>
      <c r="C147">
        <v>1</v>
      </c>
      <c r="D147" t="s">
        <v>31</v>
      </c>
      <c r="E147" t="s">
        <v>49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39</v>
      </c>
      <c r="V147" t="s">
        <v>40</v>
      </c>
      <c r="W147" t="s">
        <v>41</v>
      </c>
      <c r="X147" t="s">
        <v>43</v>
      </c>
      <c r="Y147" t="s">
        <v>44</v>
      </c>
      <c r="Z147">
        <v>37849.599999999999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949.42304694162897</v>
      </c>
    </row>
    <row r="148" spans="1:36" x14ac:dyDescent="0.3">
      <c r="A148" t="s">
        <v>72</v>
      </c>
      <c r="B148">
        <v>2025</v>
      </c>
      <c r="C148">
        <v>1</v>
      </c>
      <c r="D148" t="s">
        <v>31</v>
      </c>
      <c r="E148" t="s">
        <v>49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39</v>
      </c>
      <c r="V148" t="s">
        <v>40</v>
      </c>
      <c r="W148" t="s">
        <v>41</v>
      </c>
      <c r="X148" t="s">
        <v>43</v>
      </c>
      <c r="Y148" t="s">
        <v>44</v>
      </c>
      <c r="Z148">
        <v>37849.599999999999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1371.5851620261499</v>
      </c>
    </row>
    <row r="149" spans="1:36" x14ac:dyDescent="0.3">
      <c r="A149" t="s">
        <v>72</v>
      </c>
      <c r="B149">
        <v>2025</v>
      </c>
      <c r="C149">
        <v>1</v>
      </c>
      <c r="D149" t="s">
        <v>31</v>
      </c>
      <c r="E149" t="s">
        <v>49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39</v>
      </c>
      <c r="V149" t="s">
        <v>40</v>
      </c>
      <c r="W149" t="s">
        <v>41</v>
      </c>
      <c r="X149" t="s">
        <v>43</v>
      </c>
      <c r="Y149" t="s">
        <v>44</v>
      </c>
      <c r="Z149">
        <v>37849.599999999999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3">
      <c r="A150" t="s">
        <v>72</v>
      </c>
      <c r="B150">
        <v>2025</v>
      </c>
      <c r="C150">
        <v>1</v>
      </c>
      <c r="D150" t="s">
        <v>31</v>
      </c>
      <c r="E150" t="s">
        <v>49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39</v>
      </c>
      <c r="V150" t="s">
        <v>40</v>
      </c>
      <c r="W150" t="s">
        <v>41</v>
      </c>
      <c r="X150" t="s">
        <v>43</v>
      </c>
      <c r="Y150" t="s">
        <v>44</v>
      </c>
      <c r="Z150">
        <v>37849.599999999999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3">
      <c r="A151" t="s">
        <v>72</v>
      </c>
      <c r="B151">
        <v>2025</v>
      </c>
      <c r="C151">
        <v>1</v>
      </c>
      <c r="D151" t="s">
        <v>31</v>
      </c>
      <c r="E151" t="s">
        <v>49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39</v>
      </c>
      <c r="V151" t="s">
        <v>40</v>
      </c>
      <c r="W151" t="s">
        <v>41</v>
      </c>
      <c r="X151" t="s">
        <v>43</v>
      </c>
      <c r="Y151" t="s">
        <v>44</v>
      </c>
      <c r="Z151">
        <v>37849.599999999999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3">
      <c r="A152" t="s">
        <v>72</v>
      </c>
      <c r="B152">
        <v>2025</v>
      </c>
      <c r="C152">
        <v>1</v>
      </c>
      <c r="D152" t="s">
        <v>31</v>
      </c>
      <c r="E152" t="s">
        <v>49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39</v>
      </c>
      <c r="V152" t="s">
        <v>40</v>
      </c>
      <c r="W152" t="s">
        <v>41</v>
      </c>
      <c r="X152" t="s">
        <v>43</v>
      </c>
      <c r="Y152" t="s">
        <v>44</v>
      </c>
      <c r="Z152">
        <v>37849.599999999999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3">
      <c r="A153" t="s">
        <v>72</v>
      </c>
      <c r="B153">
        <v>2025</v>
      </c>
      <c r="C153">
        <v>1</v>
      </c>
      <c r="D153" t="s">
        <v>31</v>
      </c>
      <c r="E153" t="s">
        <v>49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39</v>
      </c>
      <c r="V153" t="s">
        <v>40</v>
      </c>
      <c r="W153" t="s">
        <v>41</v>
      </c>
      <c r="X153" t="s">
        <v>43</v>
      </c>
      <c r="Y153" t="s">
        <v>44</v>
      </c>
      <c r="Z153">
        <v>37849.599999999999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3">
      <c r="A154" t="s">
        <v>72</v>
      </c>
      <c r="B154">
        <v>2025</v>
      </c>
      <c r="C154">
        <v>1</v>
      </c>
      <c r="D154" t="s">
        <v>31</v>
      </c>
      <c r="E154" t="s">
        <v>49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39</v>
      </c>
      <c r="V154" t="s">
        <v>40</v>
      </c>
      <c r="W154" t="s">
        <v>41</v>
      </c>
      <c r="X154" t="s">
        <v>43</v>
      </c>
      <c r="Y154" t="s">
        <v>44</v>
      </c>
      <c r="Z154">
        <v>37849.599999999999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3">
      <c r="A155" t="s">
        <v>72</v>
      </c>
      <c r="B155">
        <v>2025</v>
      </c>
      <c r="C155">
        <v>1</v>
      </c>
      <c r="D155" t="s">
        <v>31</v>
      </c>
      <c r="E155" t="s">
        <v>49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39</v>
      </c>
      <c r="V155" t="s">
        <v>40</v>
      </c>
      <c r="W155" t="s">
        <v>41</v>
      </c>
      <c r="X155" t="s">
        <v>43</v>
      </c>
      <c r="Y155" t="s">
        <v>44</v>
      </c>
      <c r="Z155">
        <v>37849.599999999999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3">
      <c r="A156" t="s">
        <v>72</v>
      </c>
      <c r="B156">
        <v>2025</v>
      </c>
      <c r="C156">
        <v>1</v>
      </c>
      <c r="D156" t="s">
        <v>31</v>
      </c>
      <c r="E156" t="s">
        <v>49</v>
      </c>
      <c r="F156" t="s">
        <v>79</v>
      </c>
      <c r="H156" t="s">
        <v>51</v>
      </c>
      <c r="I156" t="s">
        <v>84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1</v>
      </c>
      <c r="S156" t="s">
        <v>38</v>
      </c>
      <c r="T156" t="s">
        <v>52</v>
      </c>
      <c r="V156" t="s">
        <v>40</v>
      </c>
      <c r="W156" t="s">
        <v>41</v>
      </c>
      <c r="X156" t="s">
        <v>43</v>
      </c>
      <c r="Y156" t="s">
        <v>44</v>
      </c>
      <c r="Z156">
        <v>5236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0.81120006249362275</v>
      </c>
    </row>
    <row r="157" spans="1:36" x14ac:dyDescent="0.3">
      <c r="A157" t="s">
        <v>72</v>
      </c>
      <c r="B157">
        <v>2025</v>
      </c>
      <c r="C157">
        <v>1</v>
      </c>
      <c r="D157" t="s">
        <v>31</v>
      </c>
      <c r="E157" t="s">
        <v>49</v>
      </c>
      <c r="F157" t="s">
        <v>79</v>
      </c>
      <c r="H157" t="s">
        <v>51</v>
      </c>
      <c r="I157" t="s">
        <v>84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1</v>
      </c>
      <c r="S157" t="s">
        <v>38</v>
      </c>
      <c r="T157" t="s">
        <v>52</v>
      </c>
      <c r="V157" t="s">
        <v>40</v>
      </c>
      <c r="W157" t="s">
        <v>41</v>
      </c>
      <c r="X157" t="s">
        <v>43</v>
      </c>
      <c r="Y157" t="s">
        <v>44</v>
      </c>
      <c r="Z157">
        <v>5236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1.1854389984630065</v>
      </c>
    </row>
    <row r="158" spans="1:36" x14ac:dyDescent="0.3">
      <c r="A158" t="s">
        <v>72</v>
      </c>
      <c r="B158">
        <v>2025</v>
      </c>
      <c r="C158">
        <v>1</v>
      </c>
      <c r="D158" t="s">
        <v>31</v>
      </c>
      <c r="E158" t="s">
        <v>49</v>
      </c>
      <c r="F158" t="s">
        <v>79</v>
      </c>
      <c r="H158" t="s">
        <v>51</v>
      </c>
      <c r="I158" t="s">
        <v>84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1</v>
      </c>
      <c r="S158" t="s">
        <v>38</v>
      </c>
      <c r="T158" t="s">
        <v>52</v>
      </c>
      <c r="V158" t="s">
        <v>40</v>
      </c>
      <c r="W158" t="s">
        <v>41</v>
      </c>
      <c r="X158" t="s">
        <v>43</v>
      </c>
      <c r="Y158" t="s">
        <v>44</v>
      </c>
      <c r="Z158">
        <v>5236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0.37994462713706195</v>
      </c>
    </row>
    <row r="159" spans="1:36" x14ac:dyDescent="0.3">
      <c r="A159" t="s">
        <v>72</v>
      </c>
      <c r="B159">
        <v>2025</v>
      </c>
      <c r="C159">
        <v>1</v>
      </c>
      <c r="D159" t="s">
        <v>31</v>
      </c>
      <c r="E159" t="s">
        <v>49</v>
      </c>
      <c r="F159" t="s">
        <v>79</v>
      </c>
      <c r="H159" t="s">
        <v>51</v>
      </c>
      <c r="I159" t="s">
        <v>84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1</v>
      </c>
      <c r="S159" t="s">
        <v>38</v>
      </c>
      <c r="T159" t="s">
        <v>52</v>
      </c>
      <c r="V159" t="s">
        <v>40</v>
      </c>
      <c r="W159" t="s">
        <v>41</v>
      </c>
      <c r="X159" t="s">
        <v>43</v>
      </c>
      <c r="Y159" t="s">
        <v>44</v>
      </c>
      <c r="Z159">
        <v>5236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4.4072011405387084</v>
      </c>
    </row>
    <row r="160" spans="1:36" x14ac:dyDescent="0.3">
      <c r="A160" t="s">
        <v>72</v>
      </c>
      <c r="B160">
        <v>2025</v>
      </c>
      <c r="C160">
        <v>1</v>
      </c>
      <c r="D160" t="s">
        <v>31</v>
      </c>
      <c r="E160" t="s">
        <v>49</v>
      </c>
      <c r="F160" t="s">
        <v>79</v>
      </c>
      <c r="H160" t="s">
        <v>51</v>
      </c>
      <c r="I160" t="s">
        <v>84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1</v>
      </c>
      <c r="S160" t="s">
        <v>38</v>
      </c>
      <c r="T160" t="s">
        <v>52</v>
      </c>
      <c r="V160" t="s">
        <v>40</v>
      </c>
      <c r="W160" t="s">
        <v>41</v>
      </c>
      <c r="X160" t="s">
        <v>43</v>
      </c>
      <c r="Y160" t="s">
        <v>44</v>
      </c>
      <c r="Z160">
        <v>5236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6.5263390890564237</v>
      </c>
    </row>
    <row r="161" spans="1:36" x14ac:dyDescent="0.3">
      <c r="A161" t="s">
        <v>72</v>
      </c>
      <c r="B161">
        <v>2025</v>
      </c>
      <c r="C161">
        <v>1</v>
      </c>
      <c r="D161" t="s">
        <v>31</v>
      </c>
      <c r="E161" t="s">
        <v>49</v>
      </c>
      <c r="F161" t="s">
        <v>79</v>
      </c>
      <c r="H161" t="s">
        <v>51</v>
      </c>
      <c r="I161" t="s">
        <v>84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1</v>
      </c>
      <c r="S161" t="s">
        <v>38</v>
      </c>
      <c r="T161" t="s">
        <v>52</v>
      </c>
      <c r="V161" t="s">
        <v>40</v>
      </c>
      <c r="W161" t="s">
        <v>41</v>
      </c>
      <c r="X161" t="s">
        <v>43</v>
      </c>
      <c r="Y161" t="s">
        <v>44</v>
      </c>
      <c r="Z161">
        <v>5236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6.4716970882371356</v>
      </c>
    </row>
    <row r="162" spans="1:36" x14ac:dyDescent="0.3">
      <c r="A162" t="s">
        <v>72</v>
      </c>
      <c r="B162">
        <v>2025</v>
      </c>
      <c r="C162">
        <v>1</v>
      </c>
      <c r="D162" t="s">
        <v>31</v>
      </c>
      <c r="E162" t="s">
        <v>49</v>
      </c>
      <c r="F162" t="s">
        <v>79</v>
      </c>
      <c r="H162" t="s">
        <v>51</v>
      </c>
      <c r="I162" t="s">
        <v>84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1</v>
      </c>
      <c r="S162" t="s">
        <v>38</v>
      </c>
      <c r="T162" t="s">
        <v>52</v>
      </c>
      <c r="V162" t="s">
        <v>40</v>
      </c>
      <c r="W162" t="s">
        <v>41</v>
      </c>
      <c r="X162" t="s">
        <v>43</v>
      </c>
      <c r="Y162" t="s">
        <v>44</v>
      </c>
      <c r="Z162">
        <v>5236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9.3493450869427086</v>
      </c>
    </row>
    <row r="163" spans="1:36" x14ac:dyDescent="0.3">
      <c r="A163" t="s">
        <v>72</v>
      </c>
      <c r="B163">
        <v>2025</v>
      </c>
      <c r="C163">
        <v>1</v>
      </c>
      <c r="D163" t="s">
        <v>31</v>
      </c>
      <c r="E163" t="s">
        <v>49</v>
      </c>
      <c r="F163" t="s">
        <v>79</v>
      </c>
      <c r="H163" t="s">
        <v>51</v>
      </c>
      <c r="I163" t="s">
        <v>84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1</v>
      </c>
      <c r="S163" t="s">
        <v>38</v>
      </c>
      <c r="T163" t="s">
        <v>52</v>
      </c>
      <c r="V163" t="s">
        <v>40</v>
      </c>
      <c r="W163" t="s">
        <v>41</v>
      </c>
      <c r="X163" t="s">
        <v>43</v>
      </c>
      <c r="Y163" t="s">
        <v>44</v>
      </c>
      <c r="Z163">
        <v>5236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3">
      <c r="A164" t="s">
        <v>72</v>
      </c>
      <c r="B164">
        <v>2025</v>
      </c>
      <c r="C164">
        <v>1</v>
      </c>
      <c r="D164" t="s">
        <v>31</v>
      </c>
      <c r="E164" t="s">
        <v>49</v>
      </c>
      <c r="F164" t="s">
        <v>79</v>
      </c>
      <c r="H164" t="s">
        <v>51</v>
      </c>
      <c r="I164" t="s">
        <v>84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1</v>
      </c>
      <c r="S164" t="s">
        <v>38</v>
      </c>
      <c r="T164" t="s">
        <v>52</v>
      </c>
      <c r="V164" t="s">
        <v>40</v>
      </c>
      <c r="W164" t="s">
        <v>41</v>
      </c>
      <c r="X164" t="s">
        <v>43</v>
      </c>
      <c r="Y164" t="s">
        <v>44</v>
      </c>
      <c r="Z164">
        <v>5236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3">
      <c r="A165" t="s">
        <v>72</v>
      </c>
      <c r="B165">
        <v>2025</v>
      </c>
      <c r="C165">
        <v>1</v>
      </c>
      <c r="D165" t="s">
        <v>31</v>
      </c>
      <c r="E165" t="s">
        <v>49</v>
      </c>
      <c r="F165" t="s">
        <v>79</v>
      </c>
      <c r="H165" t="s">
        <v>51</v>
      </c>
      <c r="I165" t="s">
        <v>84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1</v>
      </c>
      <c r="S165" t="s">
        <v>38</v>
      </c>
      <c r="T165" t="s">
        <v>52</v>
      </c>
      <c r="V165" t="s">
        <v>40</v>
      </c>
      <c r="W165" t="s">
        <v>41</v>
      </c>
      <c r="X165" t="s">
        <v>43</v>
      </c>
      <c r="Y165" t="s">
        <v>44</v>
      </c>
      <c r="Z165">
        <v>5236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3">
      <c r="A166" t="s">
        <v>72</v>
      </c>
      <c r="B166">
        <v>2025</v>
      </c>
      <c r="C166">
        <v>1</v>
      </c>
      <c r="D166" t="s">
        <v>31</v>
      </c>
      <c r="E166" t="s">
        <v>49</v>
      </c>
      <c r="F166" t="s">
        <v>79</v>
      </c>
      <c r="H166" t="s">
        <v>51</v>
      </c>
      <c r="I166" t="s">
        <v>84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1</v>
      </c>
      <c r="S166" t="s">
        <v>38</v>
      </c>
      <c r="T166" t="s">
        <v>52</v>
      </c>
      <c r="V166" t="s">
        <v>40</v>
      </c>
      <c r="W166" t="s">
        <v>41</v>
      </c>
      <c r="X166" t="s">
        <v>43</v>
      </c>
      <c r="Y166" t="s">
        <v>44</v>
      </c>
      <c r="Z166">
        <v>5236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3">
      <c r="A167" t="s">
        <v>72</v>
      </c>
      <c r="B167">
        <v>2025</v>
      </c>
      <c r="C167">
        <v>1</v>
      </c>
      <c r="D167" t="s">
        <v>31</v>
      </c>
      <c r="E167" t="s">
        <v>49</v>
      </c>
      <c r="F167" t="s">
        <v>79</v>
      </c>
      <c r="H167" t="s">
        <v>51</v>
      </c>
      <c r="I167" t="s">
        <v>84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1</v>
      </c>
      <c r="S167" t="s">
        <v>38</v>
      </c>
      <c r="T167" t="s">
        <v>52</v>
      </c>
      <c r="V167" t="s">
        <v>40</v>
      </c>
      <c r="W167" t="s">
        <v>41</v>
      </c>
      <c r="X167" t="s">
        <v>43</v>
      </c>
      <c r="Y167" t="s">
        <v>44</v>
      </c>
      <c r="Z167">
        <v>5236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3">
      <c r="A168" t="s">
        <v>72</v>
      </c>
      <c r="B168">
        <v>2025</v>
      </c>
      <c r="C168">
        <v>1</v>
      </c>
      <c r="D168" t="s">
        <v>31</v>
      </c>
      <c r="E168" t="s">
        <v>49</v>
      </c>
      <c r="F168" t="s">
        <v>79</v>
      </c>
      <c r="H168" t="s">
        <v>51</v>
      </c>
      <c r="I168" t="s">
        <v>84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1</v>
      </c>
      <c r="S168" t="s">
        <v>38</v>
      </c>
      <c r="T168" t="s">
        <v>52</v>
      </c>
      <c r="V168" t="s">
        <v>40</v>
      </c>
      <c r="W168" t="s">
        <v>41</v>
      </c>
      <c r="X168" t="s">
        <v>43</v>
      </c>
      <c r="Y168" t="s">
        <v>44</v>
      </c>
      <c r="Z168">
        <v>5236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3">
      <c r="A169" t="s">
        <v>72</v>
      </c>
      <c r="B169">
        <v>2025</v>
      </c>
      <c r="C169">
        <v>1</v>
      </c>
      <c r="D169" t="s">
        <v>31</v>
      </c>
      <c r="E169" t="s">
        <v>49</v>
      </c>
      <c r="F169" t="s">
        <v>79</v>
      </c>
      <c r="H169" t="s">
        <v>51</v>
      </c>
      <c r="I169" t="s">
        <v>84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1</v>
      </c>
      <c r="S169" t="s">
        <v>38</v>
      </c>
      <c r="T169" t="s">
        <v>52</v>
      </c>
      <c r="V169" t="s">
        <v>40</v>
      </c>
      <c r="W169" t="s">
        <v>41</v>
      </c>
      <c r="X169" t="s">
        <v>43</v>
      </c>
      <c r="Y169" t="s">
        <v>44</v>
      </c>
      <c r="Z169">
        <v>5236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3">
      <c r="A170" t="s">
        <v>72</v>
      </c>
      <c r="B170">
        <v>2025</v>
      </c>
      <c r="C170">
        <v>1</v>
      </c>
      <c r="D170" t="s">
        <v>31</v>
      </c>
      <c r="E170" t="s">
        <v>49</v>
      </c>
      <c r="F170" t="s">
        <v>50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36</v>
      </c>
      <c r="Q170" t="s">
        <v>47</v>
      </c>
      <c r="R170">
        <v>2024</v>
      </c>
      <c r="S170" t="s">
        <v>38</v>
      </c>
      <c r="T170" t="s">
        <v>39</v>
      </c>
      <c r="V170" t="s">
        <v>40</v>
      </c>
      <c r="W170" t="s">
        <v>41</v>
      </c>
      <c r="X170" t="s">
        <v>43</v>
      </c>
      <c r="Y170" t="s">
        <v>44</v>
      </c>
      <c r="Z170">
        <v>12569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39.519277463109866</v>
      </c>
    </row>
    <row r="171" spans="1:36" x14ac:dyDescent="0.3">
      <c r="A171" t="s">
        <v>72</v>
      </c>
      <c r="B171">
        <v>2025</v>
      </c>
      <c r="C171">
        <v>1</v>
      </c>
      <c r="D171" t="s">
        <v>31</v>
      </c>
      <c r="E171" t="s">
        <v>49</v>
      </c>
      <c r="F171" t="s">
        <v>50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36</v>
      </c>
      <c r="Q171" t="s">
        <v>47</v>
      </c>
      <c r="R171">
        <v>2024</v>
      </c>
      <c r="S171" t="s">
        <v>38</v>
      </c>
      <c r="T171" t="s">
        <v>39</v>
      </c>
      <c r="V171" t="s">
        <v>40</v>
      </c>
      <c r="W171" t="s">
        <v>41</v>
      </c>
      <c r="X171" t="s">
        <v>43</v>
      </c>
      <c r="Y171" t="s">
        <v>44</v>
      </c>
      <c r="Z171">
        <v>12569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57.751096014269493</v>
      </c>
    </row>
    <row r="172" spans="1:36" x14ac:dyDescent="0.3">
      <c r="A172" t="s">
        <v>72</v>
      </c>
      <c r="B172">
        <v>2025</v>
      </c>
      <c r="C172">
        <v>1</v>
      </c>
      <c r="D172" t="s">
        <v>31</v>
      </c>
      <c r="E172" t="s">
        <v>49</v>
      </c>
      <c r="F172" t="s">
        <v>50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36</v>
      </c>
      <c r="Q172" t="s">
        <v>47</v>
      </c>
      <c r="R172">
        <v>2024</v>
      </c>
      <c r="S172" t="s">
        <v>38</v>
      </c>
      <c r="T172" t="s">
        <v>39</v>
      </c>
      <c r="V172" t="s">
        <v>40</v>
      </c>
      <c r="W172" t="s">
        <v>41</v>
      </c>
      <c r="X172" t="s">
        <v>43</v>
      </c>
      <c r="Y172" t="s">
        <v>44</v>
      </c>
      <c r="Z172">
        <v>12569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18.509783017386557</v>
      </c>
    </row>
    <row r="173" spans="1:36" x14ac:dyDescent="0.3">
      <c r="A173" t="s">
        <v>72</v>
      </c>
      <c r="B173">
        <v>2025</v>
      </c>
      <c r="C173">
        <v>1</v>
      </c>
      <c r="D173" t="s">
        <v>31</v>
      </c>
      <c r="E173" t="s">
        <v>49</v>
      </c>
      <c r="F173" t="s">
        <v>50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36</v>
      </c>
      <c r="Q173" t="s">
        <v>47</v>
      </c>
      <c r="R173">
        <v>2024</v>
      </c>
      <c r="S173" t="s">
        <v>38</v>
      </c>
      <c r="T173" t="s">
        <v>39</v>
      </c>
      <c r="V173" t="s">
        <v>40</v>
      </c>
      <c r="W173" t="s">
        <v>41</v>
      </c>
      <c r="X173" t="s">
        <v>43</v>
      </c>
      <c r="Y173" t="s">
        <v>44</v>
      </c>
      <c r="Z173">
        <v>12569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214.70585711407375</v>
      </c>
    </row>
    <row r="174" spans="1:36" x14ac:dyDescent="0.3">
      <c r="A174" t="s">
        <v>72</v>
      </c>
      <c r="B174">
        <v>2025</v>
      </c>
      <c r="C174">
        <v>1</v>
      </c>
      <c r="D174" t="s">
        <v>31</v>
      </c>
      <c r="E174" t="s">
        <v>49</v>
      </c>
      <c r="F174" t="s">
        <v>50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36</v>
      </c>
      <c r="Q174" t="s">
        <v>47</v>
      </c>
      <c r="R174">
        <v>2024</v>
      </c>
      <c r="S174" t="s">
        <v>38</v>
      </c>
      <c r="T174" t="s">
        <v>39</v>
      </c>
      <c r="V174" t="s">
        <v>40</v>
      </c>
      <c r="W174" t="s">
        <v>41</v>
      </c>
      <c r="X174" t="s">
        <v>43</v>
      </c>
      <c r="Y174" t="s">
        <v>44</v>
      </c>
      <c r="Z174">
        <v>12569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317.94401554399303</v>
      </c>
    </row>
    <row r="175" spans="1:36" x14ac:dyDescent="0.3">
      <c r="A175" t="s">
        <v>72</v>
      </c>
      <c r="B175">
        <v>2025</v>
      </c>
      <c r="C175">
        <v>1</v>
      </c>
      <c r="D175" t="s">
        <v>31</v>
      </c>
      <c r="E175" t="s">
        <v>49</v>
      </c>
      <c r="F175" t="s">
        <v>50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36</v>
      </c>
      <c r="Q175" t="s">
        <v>47</v>
      </c>
      <c r="R175">
        <v>2024</v>
      </c>
      <c r="S175" t="s">
        <v>38</v>
      </c>
      <c r="T175" t="s">
        <v>39</v>
      </c>
      <c r="V175" t="s">
        <v>40</v>
      </c>
      <c r="W175" t="s">
        <v>41</v>
      </c>
      <c r="X175" t="s">
        <v>43</v>
      </c>
      <c r="Y175" t="s">
        <v>44</v>
      </c>
      <c r="Z175">
        <v>12569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315.28201822500995</v>
      </c>
    </row>
    <row r="176" spans="1:36" x14ac:dyDescent="0.3">
      <c r="A176" t="s">
        <v>72</v>
      </c>
      <c r="B176">
        <v>2025</v>
      </c>
      <c r="C176">
        <v>1</v>
      </c>
      <c r="D176" t="s">
        <v>31</v>
      </c>
      <c r="E176" t="s">
        <v>49</v>
      </c>
      <c r="F176" t="s">
        <v>50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36</v>
      </c>
      <c r="Q176" t="s">
        <v>47</v>
      </c>
      <c r="R176">
        <v>2024</v>
      </c>
      <c r="S176" t="s">
        <v>38</v>
      </c>
      <c r="T176" t="s">
        <v>39</v>
      </c>
      <c r="V176" t="s">
        <v>40</v>
      </c>
      <c r="W176" t="s">
        <v>41</v>
      </c>
      <c r="X176" t="s">
        <v>43</v>
      </c>
      <c r="Y176" t="s">
        <v>44</v>
      </c>
      <c r="Z176">
        <v>12569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455.4725519293911</v>
      </c>
    </row>
    <row r="177" spans="1:36" x14ac:dyDescent="0.3">
      <c r="A177" t="s">
        <v>72</v>
      </c>
      <c r="B177">
        <v>2025</v>
      </c>
      <c r="C177">
        <v>1</v>
      </c>
      <c r="D177" t="s">
        <v>31</v>
      </c>
      <c r="E177" t="s">
        <v>49</v>
      </c>
      <c r="F177" t="s">
        <v>50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36</v>
      </c>
      <c r="Q177" t="s">
        <v>47</v>
      </c>
      <c r="R177">
        <v>2024</v>
      </c>
      <c r="S177" t="s">
        <v>38</v>
      </c>
      <c r="T177" t="s">
        <v>39</v>
      </c>
      <c r="V177" t="s">
        <v>40</v>
      </c>
      <c r="W177" t="s">
        <v>41</v>
      </c>
      <c r="X177" t="s">
        <v>43</v>
      </c>
      <c r="Y177" t="s">
        <v>44</v>
      </c>
      <c r="Z177">
        <v>12569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3">
      <c r="A178" t="s">
        <v>72</v>
      </c>
      <c r="B178">
        <v>2025</v>
      </c>
      <c r="C178">
        <v>1</v>
      </c>
      <c r="D178" t="s">
        <v>31</v>
      </c>
      <c r="E178" t="s">
        <v>49</v>
      </c>
      <c r="F178" t="s">
        <v>50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36</v>
      </c>
      <c r="Q178" t="s">
        <v>47</v>
      </c>
      <c r="R178">
        <v>2024</v>
      </c>
      <c r="S178" t="s">
        <v>38</v>
      </c>
      <c r="T178" t="s">
        <v>39</v>
      </c>
      <c r="V178" t="s">
        <v>40</v>
      </c>
      <c r="W178" t="s">
        <v>41</v>
      </c>
      <c r="X178" t="s">
        <v>43</v>
      </c>
      <c r="Y178" t="s">
        <v>44</v>
      </c>
      <c r="Z178">
        <v>12569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3">
      <c r="A179" t="s">
        <v>72</v>
      </c>
      <c r="B179">
        <v>2025</v>
      </c>
      <c r="C179">
        <v>1</v>
      </c>
      <c r="D179" t="s">
        <v>31</v>
      </c>
      <c r="E179" t="s">
        <v>49</v>
      </c>
      <c r="F179" t="s">
        <v>50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36</v>
      </c>
      <c r="Q179" t="s">
        <v>47</v>
      </c>
      <c r="R179">
        <v>2024</v>
      </c>
      <c r="S179" t="s">
        <v>38</v>
      </c>
      <c r="T179" t="s">
        <v>39</v>
      </c>
      <c r="V179" t="s">
        <v>40</v>
      </c>
      <c r="W179" t="s">
        <v>41</v>
      </c>
      <c r="X179" t="s">
        <v>43</v>
      </c>
      <c r="Y179" t="s">
        <v>44</v>
      </c>
      <c r="Z179">
        <v>12569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3">
      <c r="A180" t="s">
        <v>72</v>
      </c>
      <c r="B180">
        <v>2025</v>
      </c>
      <c r="C180">
        <v>1</v>
      </c>
      <c r="D180" t="s">
        <v>31</v>
      </c>
      <c r="E180" t="s">
        <v>49</v>
      </c>
      <c r="F180" t="s">
        <v>50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36</v>
      </c>
      <c r="Q180" t="s">
        <v>47</v>
      </c>
      <c r="R180">
        <v>2024</v>
      </c>
      <c r="S180" t="s">
        <v>38</v>
      </c>
      <c r="T180" t="s">
        <v>39</v>
      </c>
      <c r="V180" t="s">
        <v>40</v>
      </c>
      <c r="W180" t="s">
        <v>41</v>
      </c>
      <c r="X180" t="s">
        <v>43</v>
      </c>
      <c r="Y180" t="s">
        <v>44</v>
      </c>
      <c r="Z180">
        <v>12569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3">
      <c r="A181" t="s">
        <v>72</v>
      </c>
      <c r="B181">
        <v>2025</v>
      </c>
      <c r="C181">
        <v>1</v>
      </c>
      <c r="D181" t="s">
        <v>31</v>
      </c>
      <c r="E181" t="s">
        <v>49</v>
      </c>
      <c r="F181" t="s">
        <v>50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36</v>
      </c>
      <c r="Q181" t="s">
        <v>47</v>
      </c>
      <c r="R181">
        <v>2024</v>
      </c>
      <c r="S181" t="s">
        <v>38</v>
      </c>
      <c r="T181" t="s">
        <v>39</v>
      </c>
      <c r="V181" t="s">
        <v>40</v>
      </c>
      <c r="W181" t="s">
        <v>41</v>
      </c>
      <c r="X181" t="s">
        <v>43</v>
      </c>
      <c r="Y181" t="s">
        <v>44</v>
      </c>
      <c r="Z181">
        <v>12569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3">
      <c r="A182" t="s">
        <v>72</v>
      </c>
      <c r="B182">
        <v>2025</v>
      </c>
      <c r="C182">
        <v>1</v>
      </c>
      <c r="D182" t="s">
        <v>31</v>
      </c>
      <c r="E182" t="s">
        <v>49</v>
      </c>
      <c r="F182" t="s">
        <v>50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36</v>
      </c>
      <c r="Q182" t="s">
        <v>47</v>
      </c>
      <c r="R182">
        <v>2024</v>
      </c>
      <c r="S182" t="s">
        <v>38</v>
      </c>
      <c r="T182" t="s">
        <v>39</v>
      </c>
      <c r="V182" t="s">
        <v>40</v>
      </c>
      <c r="W182" t="s">
        <v>41</v>
      </c>
      <c r="X182" t="s">
        <v>43</v>
      </c>
      <c r="Y182" t="s">
        <v>44</v>
      </c>
      <c r="Z182">
        <v>12569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3">
      <c r="A183" t="s">
        <v>72</v>
      </c>
      <c r="B183">
        <v>2025</v>
      </c>
      <c r="C183">
        <v>1</v>
      </c>
      <c r="D183" t="s">
        <v>31</v>
      </c>
      <c r="E183" t="s">
        <v>49</v>
      </c>
      <c r="F183" t="s">
        <v>50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36</v>
      </c>
      <c r="Q183" t="s">
        <v>47</v>
      </c>
      <c r="R183">
        <v>2024</v>
      </c>
      <c r="S183" t="s">
        <v>38</v>
      </c>
      <c r="T183" t="s">
        <v>39</v>
      </c>
      <c r="V183" t="s">
        <v>40</v>
      </c>
      <c r="W183" t="s">
        <v>41</v>
      </c>
      <c r="X183" t="s">
        <v>43</v>
      </c>
      <c r="Y183" t="s">
        <v>44</v>
      </c>
      <c r="Z183">
        <v>12569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3">
      <c r="A184" t="s">
        <v>72</v>
      </c>
      <c r="B184">
        <v>2025</v>
      </c>
      <c r="C184">
        <v>1</v>
      </c>
      <c r="D184" t="s">
        <v>31</v>
      </c>
      <c r="E184" t="s">
        <v>49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37</v>
      </c>
      <c r="R184">
        <v>1</v>
      </c>
      <c r="S184" t="s">
        <v>38</v>
      </c>
      <c r="T184" t="s">
        <v>52</v>
      </c>
      <c r="V184" t="s">
        <v>40</v>
      </c>
      <c r="W184" t="s">
        <v>41</v>
      </c>
      <c r="X184" t="s">
        <v>43</v>
      </c>
      <c r="Y184" t="s">
        <v>44</v>
      </c>
      <c r="Z184">
        <v>258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16.462959407816314</v>
      </c>
    </row>
    <row r="185" spans="1:36" x14ac:dyDescent="0.3">
      <c r="A185" t="s">
        <v>72</v>
      </c>
      <c r="B185">
        <v>2025</v>
      </c>
      <c r="C185">
        <v>1</v>
      </c>
      <c r="D185" t="s">
        <v>31</v>
      </c>
      <c r="E185" t="s">
        <v>49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37</v>
      </c>
      <c r="R185">
        <v>1</v>
      </c>
      <c r="S185" t="s">
        <v>38</v>
      </c>
      <c r="T185" t="s">
        <v>52</v>
      </c>
      <c r="V185" t="s">
        <v>40</v>
      </c>
      <c r="W185" t="s">
        <v>41</v>
      </c>
      <c r="X185" t="s">
        <v>43</v>
      </c>
      <c r="Y185" t="s">
        <v>44</v>
      </c>
      <c r="Z185">
        <v>258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24.05797905407869</v>
      </c>
    </row>
    <row r="186" spans="1:36" x14ac:dyDescent="0.3">
      <c r="A186" t="s">
        <v>72</v>
      </c>
      <c r="B186">
        <v>2025</v>
      </c>
      <c r="C186">
        <v>1</v>
      </c>
      <c r="D186" t="s">
        <v>31</v>
      </c>
      <c r="E186" t="s">
        <v>49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37</v>
      </c>
      <c r="R186">
        <v>1</v>
      </c>
      <c r="S186" t="s">
        <v>38</v>
      </c>
      <c r="T186" t="s">
        <v>52</v>
      </c>
      <c r="V186" t="s">
        <v>40</v>
      </c>
      <c r="W186" t="s">
        <v>41</v>
      </c>
      <c r="X186" t="s">
        <v>43</v>
      </c>
      <c r="Y186" t="s">
        <v>44</v>
      </c>
      <c r="Z186">
        <v>258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7.7108142158513813</v>
      </c>
    </row>
    <row r="187" spans="1:36" x14ac:dyDescent="0.3">
      <c r="A187" t="s">
        <v>72</v>
      </c>
      <c r="B187">
        <v>2025</v>
      </c>
      <c r="C187">
        <v>1</v>
      </c>
      <c r="D187" t="s">
        <v>31</v>
      </c>
      <c r="E187" t="s">
        <v>49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37</v>
      </c>
      <c r="R187">
        <v>1</v>
      </c>
      <c r="S187" t="s">
        <v>38</v>
      </c>
      <c r="T187" t="s">
        <v>52</v>
      </c>
      <c r="V187" t="s">
        <v>40</v>
      </c>
      <c r="W187" t="s">
        <v>41</v>
      </c>
      <c r="X187" t="s">
        <v>43</v>
      </c>
      <c r="Y187" t="s">
        <v>44</v>
      </c>
      <c r="Z187">
        <v>258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89.442268107987118</v>
      </c>
    </row>
    <row r="188" spans="1:36" x14ac:dyDescent="0.3">
      <c r="A188" t="s">
        <v>72</v>
      </c>
      <c r="B188">
        <v>2025</v>
      </c>
      <c r="C188">
        <v>1</v>
      </c>
      <c r="D188" t="s">
        <v>31</v>
      </c>
      <c r="E188" t="s">
        <v>49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37</v>
      </c>
      <c r="R188">
        <v>1</v>
      </c>
      <c r="S188" t="s">
        <v>38</v>
      </c>
      <c r="T188" t="s">
        <v>52</v>
      </c>
      <c r="V188" t="s">
        <v>40</v>
      </c>
      <c r="W188" t="s">
        <v>41</v>
      </c>
      <c r="X188" t="s">
        <v>43</v>
      </c>
      <c r="Y188" t="s">
        <v>44</v>
      </c>
      <c r="Z188">
        <v>258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132.4492692647265</v>
      </c>
    </row>
    <row r="189" spans="1:36" x14ac:dyDescent="0.3">
      <c r="A189" t="s">
        <v>72</v>
      </c>
      <c r="B189">
        <v>2025</v>
      </c>
      <c r="C189">
        <v>1</v>
      </c>
      <c r="D189" t="s">
        <v>31</v>
      </c>
      <c r="E189" t="s">
        <v>49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37</v>
      </c>
      <c r="R189">
        <v>1</v>
      </c>
      <c r="S189" t="s">
        <v>38</v>
      </c>
      <c r="T189" t="s">
        <v>52</v>
      </c>
      <c r="V189" t="s">
        <v>40</v>
      </c>
      <c r="W189" t="s">
        <v>41</v>
      </c>
      <c r="X189" t="s">
        <v>43</v>
      </c>
      <c r="Y189" t="s">
        <v>44</v>
      </c>
      <c r="Z189">
        <v>258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131.34033315507614</v>
      </c>
    </row>
    <row r="190" spans="1:36" x14ac:dyDescent="0.3">
      <c r="A190" t="s">
        <v>72</v>
      </c>
      <c r="B190">
        <v>2025</v>
      </c>
      <c r="C190">
        <v>1</v>
      </c>
      <c r="D190" t="s">
        <v>31</v>
      </c>
      <c r="E190" t="s">
        <v>49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37</v>
      </c>
      <c r="R190">
        <v>1</v>
      </c>
      <c r="S190" t="s">
        <v>38</v>
      </c>
      <c r="T190" t="s">
        <v>52</v>
      </c>
      <c r="V190" t="s">
        <v>40</v>
      </c>
      <c r="W190" t="s">
        <v>41</v>
      </c>
      <c r="X190" t="s">
        <v>43</v>
      </c>
      <c r="Y190" t="s">
        <v>44</v>
      </c>
      <c r="Z190">
        <v>258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189.74097238462022</v>
      </c>
    </row>
    <row r="191" spans="1:36" x14ac:dyDescent="0.3">
      <c r="A191" t="s">
        <v>72</v>
      </c>
      <c r="B191">
        <v>2025</v>
      </c>
      <c r="C191">
        <v>1</v>
      </c>
      <c r="D191" t="s">
        <v>31</v>
      </c>
      <c r="E191" t="s">
        <v>49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37</v>
      </c>
      <c r="R191">
        <v>1</v>
      </c>
      <c r="S191" t="s">
        <v>38</v>
      </c>
      <c r="T191" t="s">
        <v>52</v>
      </c>
      <c r="V191" t="s">
        <v>40</v>
      </c>
      <c r="W191" t="s">
        <v>41</v>
      </c>
      <c r="X191" t="s">
        <v>43</v>
      </c>
      <c r="Y191" t="s">
        <v>44</v>
      </c>
      <c r="Z191">
        <v>258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3">
      <c r="A192" t="s">
        <v>72</v>
      </c>
      <c r="B192">
        <v>2025</v>
      </c>
      <c r="C192">
        <v>1</v>
      </c>
      <c r="D192" t="s">
        <v>31</v>
      </c>
      <c r="E192" t="s">
        <v>49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37</v>
      </c>
      <c r="R192">
        <v>1</v>
      </c>
      <c r="S192" t="s">
        <v>38</v>
      </c>
      <c r="T192" t="s">
        <v>52</v>
      </c>
      <c r="V192" t="s">
        <v>40</v>
      </c>
      <c r="W192" t="s">
        <v>41</v>
      </c>
      <c r="X192" t="s">
        <v>43</v>
      </c>
      <c r="Y192" t="s">
        <v>44</v>
      </c>
      <c r="Z192">
        <v>258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36" x14ac:dyDescent="0.3">
      <c r="A193" t="s">
        <v>72</v>
      </c>
      <c r="B193">
        <v>2025</v>
      </c>
      <c r="C193">
        <v>1</v>
      </c>
      <c r="D193" t="s">
        <v>31</v>
      </c>
      <c r="E193" t="s">
        <v>49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37</v>
      </c>
      <c r="R193">
        <v>1</v>
      </c>
      <c r="S193" t="s">
        <v>38</v>
      </c>
      <c r="T193" t="s">
        <v>52</v>
      </c>
      <c r="V193" t="s">
        <v>40</v>
      </c>
      <c r="W193" t="s">
        <v>41</v>
      </c>
      <c r="X193" t="s">
        <v>43</v>
      </c>
      <c r="Y193" t="s">
        <v>44</v>
      </c>
      <c r="Z193">
        <v>258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36" x14ac:dyDescent="0.3">
      <c r="A194" t="s">
        <v>72</v>
      </c>
      <c r="B194">
        <v>2025</v>
      </c>
      <c r="C194">
        <v>1</v>
      </c>
      <c r="D194" t="s">
        <v>31</v>
      </c>
      <c r="E194" t="s">
        <v>49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37</v>
      </c>
      <c r="R194">
        <v>1</v>
      </c>
      <c r="S194" t="s">
        <v>38</v>
      </c>
      <c r="T194" t="s">
        <v>52</v>
      </c>
      <c r="V194" t="s">
        <v>40</v>
      </c>
      <c r="W194" t="s">
        <v>41</v>
      </c>
      <c r="X194" t="s">
        <v>43</v>
      </c>
      <c r="Y194" t="s">
        <v>44</v>
      </c>
      <c r="Z194">
        <v>258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36" x14ac:dyDescent="0.3">
      <c r="A195" t="s">
        <v>72</v>
      </c>
      <c r="B195">
        <v>2025</v>
      </c>
      <c r="C195">
        <v>1</v>
      </c>
      <c r="D195" t="s">
        <v>31</v>
      </c>
      <c r="E195" t="s">
        <v>49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37</v>
      </c>
      <c r="R195">
        <v>1</v>
      </c>
      <c r="S195" t="s">
        <v>38</v>
      </c>
      <c r="T195" t="s">
        <v>52</v>
      </c>
      <c r="V195" t="s">
        <v>40</v>
      </c>
      <c r="W195" t="s">
        <v>41</v>
      </c>
      <c r="X195" t="s">
        <v>43</v>
      </c>
      <c r="Y195" t="s">
        <v>44</v>
      </c>
      <c r="Z195">
        <v>258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36" x14ac:dyDescent="0.3">
      <c r="A196" t="s">
        <v>72</v>
      </c>
      <c r="B196">
        <v>2025</v>
      </c>
      <c r="C196">
        <v>1</v>
      </c>
      <c r="D196" t="s">
        <v>31</v>
      </c>
      <c r="E196" t="s">
        <v>49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37</v>
      </c>
      <c r="R196">
        <v>1</v>
      </c>
      <c r="S196" t="s">
        <v>38</v>
      </c>
      <c r="T196" t="s">
        <v>52</v>
      </c>
      <c r="V196" t="s">
        <v>40</v>
      </c>
      <c r="W196" t="s">
        <v>41</v>
      </c>
      <c r="X196" t="s">
        <v>43</v>
      </c>
      <c r="Y196" t="s">
        <v>44</v>
      </c>
      <c r="Z196">
        <v>258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36" x14ac:dyDescent="0.3">
      <c r="A197" t="s">
        <v>72</v>
      </c>
      <c r="B197">
        <v>2025</v>
      </c>
      <c r="C197">
        <v>1</v>
      </c>
      <c r="D197" t="s">
        <v>31</v>
      </c>
      <c r="E197" t="s">
        <v>49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37</v>
      </c>
      <c r="R197">
        <v>1</v>
      </c>
      <c r="S197" t="s">
        <v>38</v>
      </c>
      <c r="T197" t="s">
        <v>52</v>
      </c>
      <c r="V197" t="s">
        <v>40</v>
      </c>
      <c r="W197" t="s">
        <v>41</v>
      </c>
      <c r="X197" t="s">
        <v>43</v>
      </c>
      <c r="Y197" t="s">
        <v>44</v>
      </c>
      <c r="Z197">
        <v>258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8" spans="1:36" x14ac:dyDescent="0.3">
      <c r="A198" t="s">
        <v>72</v>
      </c>
      <c r="B198">
        <v>2025</v>
      </c>
      <c r="C198">
        <v>1</v>
      </c>
      <c r="D198" t="s">
        <v>31</v>
      </c>
      <c r="E198" t="s">
        <v>49</v>
      </c>
      <c r="F198" t="s">
        <v>50</v>
      </c>
      <c r="H198" t="s">
        <v>51</v>
      </c>
      <c r="I198" t="s">
        <v>33</v>
      </c>
      <c r="J198" t="s">
        <v>32</v>
      </c>
      <c r="L198">
        <v>2024</v>
      </c>
      <c r="M198" t="s">
        <v>34</v>
      </c>
      <c r="N198" t="s">
        <v>35</v>
      </c>
      <c r="O198">
        <v>127160</v>
      </c>
      <c r="P198" t="s">
        <v>102</v>
      </c>
      <c r="Q198" t="s">
        <v>37</v>
      </c>
      <c r="R198">
        <v>1</v>
      </c>
      <c r="S198" t="s">
        <v>38</v>
      </c>
      <c r="T198" t="s">
        <v>52</v>
      </c>
      <c r="V198" t="s">
        <v>40</v>
      </c>
      <c r="W198" t="s">
        <v>41</v>
      </c>
      <c r="X198" t="s">
        <v>43</v>
      </c>
      <c r="Y198" t="s">
        <v>44</v>
      </c>
      <c r="Z198">
        <v>456</v>
      </c>
      <c r="AA198" t="s">
        <v>81</v>
      </c>
      <c r="AB198" t="s">
        <v>82</v>
      </c>
      <c r="AC198">
        <v>1</v>
      </c>
      <c r="AG198" t="s">
        <v>73</v>
      </c>
      <c r="AH198" t="s">
        <v>74</v>
      </c>
      <c r="AI198" t="s">
        <v>75</v>
      </c>
      <c r="AJ198">
        <v>1.4337489476631473</v>
      </c>
    </row>
    <row r="199" spans="1:36" x14ac:dyDescent="0.3">
      <c r="A199" t="s">
        <v>72</v>
      </c>
      <c r="B199">
        <v>2025</v>
      </c>
      <c r="C199">
        <v>1</v>
      </c>
      <c r="D199" t="s">
        <v>31</v>
      </c>
      <c r="E199" t="s">
        <v>49</v>
      </c>
      <c r="F199" t="s">
        <v>50</v>
      </c>
      <c r="H199" t="s">
        <v>51</v>
      </c>
      <c r="I199" t="s">
        <v>33</v>
      </c>
      <c r="J199" t="s">
        <v>32</v>
      </c>
      <c r="L199">
        <v>2024</v>
      </c>
      <c r="M199" t="s">
        <v>34</v>
      </c>
      <c r="N199" t="s">
        <v>35</v>
      </c>
      <c r="O199">
        <v>127160</v>
      </c>
      <c r="P199" t="s">
        <v>102</v>
      </c>
      <c r="Q199" t="s">
        <v>37</v>
      </c>
      <c r="R199">
        <v>1</v>
      </c>
      <c r="S199" t="s">
        <v>38</v>
      </c>
      <c r="T199" t="s">
        <v>52</v>
      </c>
      <c r="V199" t="s">
        <v>40</v>
      </c>
      <c r="W199" t="s">
        <v>41</v>
      </c>
      <c r="X199" t="s">
        <v>43</v>
      </c>
      <c r="Y199" t="s">
        <v>44</v>
      </c>
      <c r="Z199">
        <v>456</v>
      </c>
      <c r="AA199" t="s">
        <v>81</v>
      </c>
      <c r="AB199" t="s">
        <v>82</v>
      </c>
      <c r="AC199">
        <v>2</v>
      </c>
      <c r="AG199" t="s">
        <v>73</v>
      </c>
      <c r="AH199" t="s">
        <v>74</v>
      </c>
      <c r="AI199" t="s">
        <v>75</v>
      </c>
      <c r="AJ199">
        <v>2.0951945089113604</v>
      </c>
    </row>
    <row r="200" spans="1:36" x14ac:dyDescent="0.3">
      <c r="A200" t="s">
        <v>72</v>
      </c>
      <c r="B200">
        <v>2025</v>
      </c>
      <c r="C200">
        <v>1</v>
      </c>
      <c r="D200" t="s">
        <v>31</v>
      </c>
      <c r="E200" t="s">
        <v>49</v>
      </c>
      <c r="F200" t="s">
        <v>50</v>
      </c>
      <c r="H200" t="s">
        <v>51</v>
      </c>
      <c r="I200" t="s">
        <v>33</v>
      </c>
      <c r="J200" t="s">
        <v>32</v>
      </c>
      <c r="L200">
        <v>2024</v>
      </c>
      <c r="M200" t="s">
        <v>34</v>
      </c>
      <c r="N200" t="s">
        <v>35</v>
      </c>
      <c r="O200">
        <v>127160</v>
      </c>
      <c r="P200" t="s">
        <v>102</v>
      </c>
      <c r="Q200" t="s">
        <v>37</v>
      </c>
      <c r="R200">
        <v>1</v>
      </c>
      <c r="S200" t="s">
        <v>38</v>
      </c>
      <c r="T200" t="s">
        <v>52</v>
      </c>
      <c r="V200" t="s">
        <v>40</v>
      </c>
      <c r="W200" t="s">
        <v>41</v>
      </c>
      <c r="X200" t="s">
        <v>43</v>
      </c>
      <c r="Y200" t="s">
        <v>44</v>
      </c>
      <c r="Z200">
        <v>456</v>
      </c>
      <c r="AA200" t="s">
        <v>81</v>
      </c>
      <c r="AB200" t="s">
        <v>82</v>
      </c>
      <c r="AC200">
        <v>3</v>
      </c>
      <c r="AG200" t="s">
        <v>73</v>
      </c>
      <c r="AH200" t="s">
        <v>74</v>
      </c>
      <c r="AI200" t="s">
        <v>75</v>
      </c>
      <c r="AJ200">
        <v>0.67153003866085359</v>
      </c>
    </row>
    <row r="201" spans="1:36" x14ac:dyDescent="0.3">
      <c r="A201" t="s">
        <v>72</v>
      </c>
      <c r="B201">
        <v>2025</v>
      </c>
      <c r="C201">
        <v>1</v>
      </c>
      <c r="D201" t="s">
        <v>31</v>
      </c>
      <c r="E201" t="s">
        <v>49</v>
      </c>
      <c r="F201" t="s">
        <v>50</v>
      </c>
      <c r="H201" t="s">
        <v>51</v>
      </c>
      <c r="I201" t="s">
        <v>33</v>
      </c>
      <c r="J201" t="s">
        <v>32</v>
      </c>
      <c r="L201">
        <v>2024</v>
      </c>
      <c r="M201" t="s">
        <v>34</v>
      </c>
      <c r="N201" t="s">
        <v>35</v>
      </c>
      <c r="O201">
        <v>127160</v>
      </c>
      <c r="P201" t="s">
        <v>102</v>
      </c>
      <c r="Q201" t="s">
        <v>37</v>
      </c>
      <c r="R201">
        <v>1</v>
      </c>
      <c r="S201" t="s">
        <v>38</v>
      </c>
      <c r="T201" t="s">
        <v>52</v>
      </c>
      <c r="V201" t="s">
        <v>40</v>
      </c>
      <c r="W201" t="s">
        <v>41</v>
      </c>
      <c r="X201" t="s">
        <v>43</v>
      </c>
      <c r="Y201" t="s">
        <v>44</v>
      </c>
      <c r="Z201">
        <v>456</v>
      </c>
      <c r="AA201" t="s">
        <v>81</v>
      </c>
      <c r="AB201" t="s">
        <v>82</v>
      </c>
      <c r="AC201">
        <v>4</v>
      </c>
      <c r="AG201" t="s">
        <v>73</v>
      </c>
      <c r="AH201" t="s">
        <v>74</v>
      </c>
      <c r="AI201" t="s">
        <v>75</v>
      </c>
      <c r="AJ201">
        <v>7.7894717832777172</v>
      </c>
    </row>
    <row r="202" spans="1:36" x14ac:dyDescent="0.3">
      <c r="A202" t="s">
        <v>72</v>
      </c>
      <c r="B202">
        <v>2025</v>
      </c>
      <c r="C202">
        <v>1</v>
      </c>
      <c r="D202" t="s">
        <v>31</v>
      </c>
      <c r="E202" t="s">
        <v>49</v>
      </c>
      <c r="F202" t="s">
        <v>50</v>
      </c>
      <c r="H202" t="s">
        <v>51</v>
      </c>
      <c r="I202" t="s">
        <v>33</v>
      </c>
      <c r="J202" t="s">
        <v>32</v>
      </c>
      <c r="L202">
        <v>2024</v>
      </c>
      <c r="M202" t="s">
        <v>34</v>
      </c>
      <c r="N202" t="s">
        <v>35</v>
      </c>
      <c r="O202">
        <v>127160</v>
      </c>
      <c r="P202" t="s">
        <v>102</v>
      </c>
      <c r="Q202" t="s">
        <v>37</v>
      </c>
      <c r="R202">
        <v>1</v>
      </c>
      <c r="S202" t="s">
        <v>38</v>
      </c>
      <c r="T202" t="s">
        <v>52</v>
      </c>
      <c r="V202" t="s">
        <v>40</v>
      </c>
      <c r="W202" t="s">
        <v>41</v>
      </c>
      <c r="X202" t="s">
        <v>43</v>
      </c>
      <c r="Y202" t="s">
        <v>44</v>
      </c>
      <c r="Z202">
        <v>456</v>
      </c>
      <c r="AA202" t="s">
        <v>81</v>
      </c>
      <c r="AB202" t="s">
        <v>82</v>
      </c>
      <c r="AC202">
        <v>5</v>
      </c>
      <c r="AG202" t="s">
        <v>73</v>
      </c>
      <c r="AH202" t="s">
        <v>74</v>
      </c>
      <c r="AI202" t="s">
        <v>75</v>
      </c>
      <c r="AJ202">
        <v>11.534924901588099</v>
      </c>
    </row>
    <row r="203" spans="1:36" x14ac:dyDescent="0.3">
      <c r="A203" t="s">
        <v>72</v>
      </c>
      <c r="B203">
        <v>2025</v>
      </c>
      <c r="C203">
        <v>1</v>
      </c>
      <c r="D203" t="s">
        <v>31</v>
      </c>
      <c r="E203" t="s">
        <v>49</v>
      </c>
      <c r="F203" t="s">
        <v>50</v>
      </c>
      <c r="H203" t="s">
        <v>51</v>
      </c>
      <c r="I203" t="s">
        <v>33</v>
      </c>
      <c r="J203" t="s">
        <v>32</v>
      </c>
      <c r="L203">
        <v>2024</v>
      </c>
      <c r="M203" t="s">
        <v>34</v>
      </c>
      <c r="N203" t="s">
        <v>35</v>
      </c>
      <c r="O203">
        <v>127160</v>
      </c>
      <c r="P203" t="s">
        <v>102</v>
      </c>
      <c r="Q203" t="s">
        <v>37</v>
      </c>
      <c r="R203">
        <v>1</v>
      </c>
      <c r="S203" t="s">
        <v>38</v>
      </c>
      <c r="T203" t="s">
        <v>52</v>
      </c>
      <c r="V203" t="s">
        <v>40</v>
      </c>
      <c r="W203" t="s">
        <v>41</v>
      </c>
      <c r="X203" t="s">
        <v>43</v>
      </c>
      <c r="Y203" t="s">
        <v>44</v>
      </c>
      <c r="Z203">
        <v>456</v>
      </c>
      <c r="AA203" t="s">
        <v>81</v>
      </c>
      <c r="AB203" t="s">
        <v>82</v>
      </c>
      <c r="AC203">
        <v>6</v>
      </c>
      <c r="AG203" t="s">
        <v>73</v>
      </c>
      <c r="AH203" t="s">
        <v>74</v>
      </c>
      <c r="AI203" t="s">
        <v>75</v>
      </c>
      <c r="AJ203">
        <v>11.438348342000518</v>
      </c>
    </row>
    <row r="204" spans="1:36" x14ac:dyDescent="0.3">
      <c r="A204" t="s">
        <v>72</v>
      </c>
      <c r="B204">
        <v>2025</v>
      </c>
      <c r="C204">
        <v>1</v>
      </c>
      <c r="D204" t="s">
        <v>31</v>
      </c>
      <c r="E204" t="s">
        <v>49</v>
      </c>
      <c r="F204" t="s">
        <v>50</v>
      </c>
      <c r="H204" t="s">
        <v>51</v>
      </c>
      <c r="I204" t="s">
        <v>33</v>
      </c>
      <c r="J204" t="s">
        <v>32</v>
      </c>
      <c r="L204">
        <v>2024</v>
      </c>
      <c r="M204" t="s">
        <v>34</v>
      </c>
      <c r="N204" t="s">
        <v>35</v>
      </c>
      <c r="O204">
        <v>127160</v>
      </c>
      <c r="P204" t="s">
        <v>102</v>
      </c>
      <c r="Q204" t="s">
        <v>37</v>
      </c>
      <c r="R204">
        <v>1</v>
      </c>
      <c r="S204" t="s">
        <v>38</v>
      </c>
      <c r="T204" t="s">
        <v>52</v>
      </c>
      <c r="V204" t="s">
        <v>40</v>
      </c>
      <c r="W204" t="s">
        <v>41</v>
      </c>
      <c r="X204" t="s">
        <v>43</v>
      </c>
      <c r="Y204" t="s">
        <v>44</v>
      </c>
      <c r="Z204">
        <v>456</v>
      </c>
      <c r="AA204" t="s">
        <v>81</v>
      </c>
      <c r="AB204" t="s">
        <v>82</v>
      </c>
      <c r="AC204">
        <v>7</v>
      </c>
      <c r="AG204" t="s">
        <v>73</v>
      </c>
      <c r="AH204" t="s">
        <v>74</v>
      </c>
      <c r="AI204" t="s">
        <v>75</v>
      </c>
      <c r="AJ204">
        <v>16.524423874596412</v>
      </c>
    </row>
    <row r="205" spans="1:36" x14ac:dyDescent="0.3">
      <c r="A205" t="s">
        <v>72</v>
      </c>
      <c r="B205">
        <v>2025</v>
      </c>
      <c r="C205">
        <v>1</v>
      </c>
      <c r="D205" t="s">
        <v>31</v>
      </c>
      <c r="E205" t="s">
        <v>49</v>
      </c>
      <c r="F205" t="s">
        <v>50</v>
      </c>
      <c r="H205" t="s">
        <v>51</v>
      </c>
      <c r="I205" t="s">
        <v>33</v>
      </c>
      <c r="J205" t="s">
        <v>32</v>
      </c>
      <c r="L205">
        <v>2024</v>
      </c>
      <c r="M205" t="s">
        <v>34</v>
      </c>
      <c r="N205" t="s">
        <v>35</v>
      </c>
      <c r="O205">
        <v>127160</v>
      </c>
      <c r="P205" t="s">
        <v>102</v>
      </c>
      <c r="Q205" t="s">
        <v>37</v>
      </c>
      <c r="R205">
        <v>1</v>
      </c>
      <c r="S205" t="s">
        <v>38</v>
      </c>
      <c r="T205" t="s">
        <v>52</v>
      </c>
      <c r="V205" t="s">
        <v>40</v>
      </c>
      <c r="W205" t="s">
        <v>41</v>
      </c>
      <c r="X205" t="s">
        <v>43</v>
      </c>
      <c r="Y205" t="s">
        <v>44</v>
      </c>
      <c r="Z205">
        <v>456</v>
      </c>
      <c r="AA205" t="s">
        <v>81</v>
      </c>
      <c r="AB205" t="s">
        <v>82</v>
      </c>
      <c r="AC205">
        <v>1</v>
      </c>
      <c r="AG205" t="s">
        <v>43</v>
      </c>
      <c r="AH205" t="s">
        <v>44</v>
      </c>
      <c r="AI205" t="s">
        <v>77</v>
      </c>
      <c r="AJ205">
        <v>5.4675291723273898E-3</v>
      </c>
    </row>
    <row r="206" spans="1:36" x14ac:dyDescent="0.3">
      <c r="A206" t="s">
        <v>72</v>
      </c>
      <c r="B206">
        <v>2025</v>
      </c>
      <c r="C206">
        <v>1</v>
      </c>
      <c r="D206" t="s">
        <v>31</v>
      </c>
      <c r="E206" t="s">
        <v>49</v>
      </c>
      <c r="F206" t="s">
        <v>50</v>
      </c>
      <c r="H206" t="s">
        <v>51</v>
      </c>
      <c r="I206" t="s">
        <v>33</v>
      </c>
      <c r="J206" t="s">
        <v>32</v>
      </c>
      <c r="L206">
        <v>2024</v>
      </c>
      <c r="M206" t="s">
        <v>34</v>
      </c>
      <c r="N206" t="s">
        <v>35</v>
      </c>
      <c r="O206">
        <v>127160</v>
      </c>
      <c r="P206" t="s">
        <v>102</v>
      </c>
      <c r="Q206" t="s">
        <v>37</v>
      </c>
      <c r="R206">
        <v>1</v>
      </c>
      <c r="S206" t="s">
        <v>38</v>
      </c>
      <c r="T206" t="s">
        <v>52</v>
      </c>
      <c r="V206" t="s">
        <v>40</v>
      </c>
      <c r="W206" t="s">
        <v>41</v>
      </c>
      <c r="X206" t="s">
        <v>43</v>
      </c>
      <c r="Y206" t="s">
        <v>44</v>
      </c>
      <c r="Z206">
        <v>456</v>
      </c>
      <c r="AA206" t="s">
        <v>81</v>
      </c>
      <c r="AB206" t="s">
        <v>82</v>
      </c>
      <c r="AC206">
        <v>2</v>
      </c>
      <c r="AG206" t="s">
        <v>43</v>
      </c>
      <c r="AH206" t="s">
        <v>44</v>
      </c>
      <c r="AI206" t="s">
        <v>77</v>
      </c>
      <c r="AJ206">
        <v>6.1144567118772992E-3</v>
      </c>
    </row>
    <row r="207" spans="1:36" x14ac:dyDescent="0.3">
      <c r="A207" t="s">
        <v>72</v>
      </c>
      <c r="B207">
        <v>2025</v>
      </c>
      <c r="C207">
        <v>1</v>
      </c>
      <c r="D207" t="s">
        <v>31</v>
      </c>
      <c r="E207" t="s">
        <v>49</v>
      </c>
      <c r="F207" t="s">
        <v>50</v>
      </c>
      <c r="H207" t="s">
        <v>51</v>
      </c>
      <c r="I207" t="s">
        <v>33</v>
      </c>
      <c r="J207" t="s">
        <v>32</v>
      </c>
      <c r="L207">
        <v>2024</v>
      </c>
      <c r="M207" t="s">
        <v>34</v>
      </c>
      <c r="N207" t="s">
        <v>35</v>
      </c>
      <c r="O207">
        <v>127160</v>
      </c>
      <c r="P207" t="s">
        <v>102</v>
      </c>
      <c r="Q207" t="s">
        <v>37</v>
      </c>
      <c r="R207">
        <v>1</v>
      </c>
      <c r="S207" t="s">
        <v>38</v>
      </c>
      <c r="T207" t="s">
        <v>52</v>
      </c>
      <c r="V207" t="s">
        <v>40</v>
      </c>
      <c r="W207" t="s">
        <v>41</v>
      </c>
      <c r="X207" t="s">
        <v>43</v>
      </c>
      <c r="Y207" t="s">
        <v>44</v>
      </c>
      <c r="Z207">
        <v>456</v>
      </c>
      <c r="AA207" t="s">
        <v>81</v>
      </c>
      <c r="AB207" t="s">
        <v>82</v>
      </c>
      <c r="AC207">
        <v>3</v>
      </c>
      <c r="AG207" t="s">
        <v>43</v>
      </c>
      <c r="AH207" t="s">
        <v>44</v>
      </c>
      <c r="AI207" t="s">
        <v>77</v>
      </c>
      <c r="AJ207">
        <v>6.9160162542765101E-3</v>
      </c>
    </row>
    <row r="208" spans="1:36" x14ac:dyDescent="0.3">
      <c r="A208" t="s">
        <v>72</v>
      </c>
      <c r="B208">
        <v>2025</v>
      </c>
      <c r="C208">
        <v>1</v>
      </c>
      <c r="D208" t="s">
        <v>31</v>
      </c>
      <c r="E208" t="s">
        <v>49</v>
      </c>
      <c r="F208" t="s">
        <v>50</v>
      </c>
      <c r="H208" t="s">
        <v>51</v>
      </c>
      <c r="I208" t="s">
        <v>33</v>
      </c>
      <c r="J208" t="s">
        <v>32</v>
      </c>
      <c r="L208">
        <v>2024</v>
      </c>
      <c r="M208" t="s">
        <v>34</v>
      </c>
      <c r="N208" t="s">
        <v>35</v>
      </c>
      <c r="O208">
        <v>127160</v>
      </c>
      <c r="P208" t="s">
        <v>102</v>
      </c>
      <c r="Q208" t="s">
        <v>37</v>
      </c>
      <c r="R208">
        <v>1</v>
      </c>
      <c r="S208" t="s">
        <v>38</v>
      </c>
      <c r="T208" t="s">
        <v>52</v>
      </c>
      <c r="V208" t="s">
        <v>40</v>
      </c>
      <c r="W208" t="s">
        <v>41</v>
      </c>
      <c r="X208" t="s">
        <v>43</v>
      </c>
      <c r="Y208" t="s">
        <v>44</v>
      </c>
      <c r="Z208">
        <v>456</v>
      </c>
      <c r="AA208" t="s">
        <v>81</v>
      </c>
      <c r="AB208" t="s">
        <v>82</v>
      </c>
      <c r="AC208">
        <v>4</v>
      </c>
      <c r="AG208" t="s">
        <v>43</v>
      </c>
      <c r="AH208" t="s">
        <v>44</v>
      </c>
      <c r="AI208" t="s">
        <v>77</v>
      </c>
      <c r="AJ208">
        <v>7.4743746738224134E-3</v>
      </c>
    </row>
    <row r="209" spans="1:52" x14ac:dyDescent="0.3">
      <c r="A209" t="s">
        <v>72</v>
      </c>
      <c r="B209">
        <v>2025</v>
      </c>
      <c r="C209">
        <v>1</v>
      </c>
      <c r="D209" t="s">
        <v>31</v>
      </c>
      <c r="E209" t="s">
        <v>49</v>
      </c>
      <c r="F209" t="s">
        <v>50</v>
      </c>
      <c r="H209" t="s">
        <v>51</v>
      </c>
      <c r="I209" t="s">
        <v>33</v>
      </c>
      <c r="J209" t="s">
        <v>32</v>
      </c>
      <c r="L209">
        <v>2024</v>
      </c>
      <c r="M209" t="s">
        <v>34</v>
      </c>
      <c r="N209" t="s">
        <v>35</v>
      </c>
      <c r="O209">
        <v>127160</v>
      </c>
      <c r="P209" t="s">
        <v>102</v>
      </c>
      <c r="Q209" t="s">
        <v>37</v>
      </c>
      <c r="R209">
        <v>1</v>
      </c>
      <c r="S209" t="s">
        <v>38</v>
      </c>
      <c r="T209" t="s">
        <v>52</v>
      </c>
      <c r="V209" t="s">
        <v>40</v>
      </c>
      <c r="W209" t="s">
        <v>41</v>
      </c>
      <c r="X209" t="s">
        <v>43</v>
      </c>
      <c r="Y209" t="s">
        <v>44</v>
      </c>
      <c r="Z209">
        <v>456</v>
      </c>
      <c r="AA209" t="s">
        <v>81</v>
      </c>
      <c r="AB209" t="s">
        <v>82</v>
      </c>
      <c r="AC209">
        <v>5</v>
      </c>
      <c r="AG209" t="s">
        <v>43</v>
      </c>
      <c r="AH209" t="s">
        <v>44</v>
      </c>
      <c r="AI209" t="s">
        <v>77</v>
      </c>
      <c r="AJ209">
        <v>8.3492896233372631E-3</v>
      </c>
    </row>
    <row r="210" spans="1:52" x14ac:dyDescent="0.3">
      <c r="A210" t="s">
        <v>72</v>
      </c>
      <c r="B210">
        <v>2025</v>
      </c>
      <c r="C210">
        <v>1</v>
      </c>
      <c r="D210" t="s">
        <v>31</v>
      </c>
      <c r="E210" t="s">
        <v>49</v>
      </c>
      <c r="F210" t="s">
        <v>50</v>
      </c>
      <c r="H210" t="s">
        <v>51</v>
      </c>
      <c r="I210" t="s">
        <v>33</v>
      </c>
      <c r="J210" t="s">
        <v>32</v>
      </c>
      <c r="L210">
        <v>2024</v>
      </c>
      <c r="M210" t="s">
        <v>34</v>
      </c>
      <c r="N210" t="s">
        <v>35</v>
      </c>
      <c r="O210">
        <v>127160</v>
      </c>
      <c r="P210" t="s">
        <v>102</v>
      </c>
      <c r="Q210" t="s">
        <v>37</v>
      </c>
      <c r="R210">
        <v>1</v>
      </c>
      <c r="S210" t="s">
        <v>38</v>
      </c>
      <c r="T210" t="s">
        <v>52</v>
      </c>
      <c r="V210" t="s">
        <v>40</v>
      </c>
      <c r="W210" t="s">
        <v>41</v>
      </c>
      <c r="X210" t="s">
        <v>43</v>
      </c>
      <c r="Y210" t="s">
        <v>44</v>
      </c>
      <c r="Z210">
        <v>456</v>
      </c>
      <c r="AA210" t="s">
        <v>81</v>
      </c>
      <c r="AB210" t="s">
        <v>82</v>
      </c>
      <c r="AC210">
        <v>6</v>
      </c>
      <c r="AG210" t="s">
        <v>43</v>
      </c>
      <c r="AH210" t="s">
        <v>44</v>
      </c>
      <c r="AI210" t="s">
        <v>77</v>
      </c>
      <c r="AJ210">
        <v>9.8292469555517105E-3</v>
      </c>
    </row>
    <row r="211" spans="1:52" x14ac:dyDescent="0.3">
      <c r="A211" t="s">
        <v>72</v>
      </c>
      <c r="B211">
        <v>2025</v>
      </c>
      <c r="C211">
        <v>1</v>
      </c>
      <c r="D211" t="s">
        <v>31</v>
      </c>
      <c r="E211" t="s">
        <v>49</v>
      </c>
      <c r="F211" t="s">
        <v>50</v>
      </c>
      <c r="H211" t="s">
        <v>51</v>
      </c>
      <c r="I211" t="s">
        <v>33</v>
      </c>
      <c r="J211" t="s">
        <v>32</v>
      </c>
      <c r="L211">
        <v>2024</v>
      </c>
      <c r="M211" t="s">
        <v>34</v>
      </c>
      <c r="N211" t="s">
        <v>35</v>
      </c>
      <c r="O211">
        <v>127160</v>
      </c>
      <c r="P211" t="s">
        <v>102</v>
      </c>
      <c r="Q211" t="s">
        <v>37</v>
      </c>
      <c r="R211">
        <v>1</v>
      </c>
      <c r="S211" t="s">
        <v>38</v>
      </c>
      <c r="T211" t="s">
        <v>52</v>
      </c>
      <c r="V211" t="s">
        <v>40</v>
      </c>
      <c r="W211" t="s">
        <v>41</v>
      </c>
      <c r="X211" t="s">
        <v>43</v>
      </c>
      <c r="Y211" t="s">
        <v>44</v>
      </c>
      <c r="Z211">
        <v>456</v>
      </c>
      <c r="AA211" t="s">
        <v>81</v>
      </c>
      <c r="AB211" t="s">
        <v>82</v>
      </c>
      <c r="AC211">
        <v>7</v>
      </c>
      <c r="AG211" t="s">
        <v>43</v>
      </c>
      <c r="AH211" t="s">
        <v>44</v>
      </c>
      <c r="AI211" t="s">
        <v>77</v>
      </c>
      <c r="AJ211">
        <v>9.9092977904625713E-3</v>
      </c>
    </row>
    <row r="213" spans="1:52" x14ac:dyDescent="0.3">
      <c r="AX213" s="4"/>
      <c r="AY213" s="4"/>
      <c r="AZ213" s="4"/>
    </row>
    <row r="214" spans="1:52" s="2" customFormat="1" x14ac:dyDescent="0.3">
      <c r="A214" s="6" t="s">
        <v>0</v>
      </c>
      <c r="B214" s="6" t="s">
        <v>8</v>
      </c>
      <c r="C214" s="6" t="s">
        <v>1</v>
      </c>
      <c r="D214" s="6" t="s">
        <v>2</v>
      </c>
      <c r="E214" s="6" t="s">
        <v>61</v>
      </c>
      <c r="F214" s="6" t="s">
        <v>62</v>
      </c>
      <c r="G214" s="6" t="s">
        <v>63</v>
      </c>
      <c r="H214" s="6" t="s">
        <v>11</v>
      </c>
      <c r="I214" s="6" t="s">
        <v>12</v>
      </c>
      <c r="J214" s="6" t="s">
        <v>56</v>
      </c>
      <c r="K214" s="6" t="s">
        <v>55</v>
      </c>
      <c r="L214" s="6" t="s">
        <v>29</v>
      </c>
    </row>
    <row r="215" spans="1:52" s="5" customFormat="1" x14ac:dyDescent="0.3">
      <c r="A215" t="s">
        <v>80</v>
      </c>
      <c r="B215">
        <v>2025</v>
      </c>
      <c r="C215">
        <v>1</v>
      </c>
      <c r="D215" t="s">
        <v>31</v>
      </c>
      <c r="E215" t="s">
        <v>49</v>
      </c>
      <c r="F215" t="s">
        <v>50</v>
      </c>
      <c r="G215" t="s">
        <v>34</v>
      </c>
      <c r="H215" t="s">
        <v>35</v>
      </c>
      <c r="I215">
        <v>127160</v>
      </c>
      <c r="J215" t="s">
        <v>60</v>
      </c>
      <c r="K215" t="s">
        <v>73</v>
      </c>
      <c r="L215"/>
    </row>
    <row r="216" spans="1:52" s="5" customFormat="1" x14ac:dyDescent="0.3">
      <c r="A216" t="s">
        <v>80</v>
      </c>
      <c r="B216">
        <v>2025</v>
      </c>
      <c r="C216">
        <v>1</v>
      </c>
      <c r="D216" t="s">
        <v>31</v>
      </c>
      <c r="E216" t="s">
        <v>49</v>
      </c>
      <c r="F216" t="s">
        <v>78</v>
      </c>
      <c r="G216" t="s">
        <v>34</v>
      </c>
      <c r="H216" t="s">
        <v>35</v>
      </c>
      <c r="I216">
        <v>127160</v>
      </c>
      <c r="J216" t="s">
        <v>60</v>
      </c>
      <c r="K216" t="s">
        <v>73</v>
      </c>
      <c r="L216"/>
    </row>
    <row r="217" spans="1:52" x14ac:dyDescent="0.3">
      <c r="A217" t="s">
        <v>80</v>
      </c>
      <c r="B217">
        <v>2025</v>
      </c>
      <c r="C217">
        <v>1</v>
      </c>
      <c r="D217" t="s">
        <v>31</v>
      </c>
      <c r="E217" t="s">
        <v>49</v>
      </c>
      <c r="F217" t="s">
        <v>79</v>
      </c>
      <c r="G217" t="s">
        <v>34</v>
      </c>
      <c r="H217" t="s">
        <v>35</v>
      </c>
      <c r="I217">
        <v>127160</v>
      </c>
      <c r="J217" t="s">
        <v>60</v>
      </c>
      <c r="K217" t="s">
        <v>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B9ED-F223-43C8-86AF-6B35937AFA7D}">
  <sheetPr>
    <tabColor rgb="FF00B050"/>
  </sheetPr>
  <dimension ref="A1:AE20"/>
  <sheetViews>
    <sheetView zoomScale="70" zoomScaleNormal="70" workbookViewId="0">
      <selection activeCell="Q1" sqref="Q1:W1"/>
    </sheetView>
  </sheetViews>
  <sheetFormatPr defaultRowHeight="14.4" x14ac:dyDescent="0.3"/>
  <cols>
    <col min="1" max="1" width="16.5546875" customWidth="1"/>
    <col min="2" max="2" width="30.88671875" customWidth="1"/>
    <col min="3" max="3" width="11" customWidth="1"/>
    <col min="4" max="4" width="47.109375" customWidth="1"/>
    <col min="5" max="5" width="38.5546875" customWidth="1"/>
    <col min="6" max="6" width="41.6640625" customWidth="1"/>
    <col min="7" max="7" width="44.44140625" customWidth="1"/>
    <col min="8" max="8" width="31.6640625" customWidth="1"/>
    <col min="9" max="9" width="33.6640625" customWidth="1"/>
    <col min="10" max="10" width="31.88671875" customWidth="1"/>
    <col min="11" max="12" width="22.33203125" customWidth="1"/>
    <col min="13" max="13" width="18.33203125" customWidth="1"/>
    <col min="14" max="14" width="24.5546875" customWidth="1"/>
    <col min="15" max="15" width="18.6640625" bestFit="1" customWidth="1"/>
    <col min="16" max="16" width="12.44140625" customWidth="1"/>
    <col min="17" max="17" width="16.33203125" bestFit="1" customWidth="1"/>
    <col min="18" max="18" width="14" bestFit="1" customWidth="1"/>
    <col min="19" max="19" width="21" customWidth="1"/>
    <col min="20" max="20" width="28.109375" customWidth="1"/>
    <col min="21" max="21" width="31" bestFit="1" customWidth="1"/>
    <col min="22" max="22" width="26.44140625" bestFit="1" customWidth="1"/>
    <col min="23" max="23" width="39.6640625" bestFit="1" customWidth="1"/>
    <col min="24" max="24" width="39.6640625" customWidth="1"/>
    <col min="25" max="25" width="39.6640625" bestFit="1" customWidth="1"/>
    <col min="26" max="26" width="39.6640625" customWidth="1"/>
    <col min="27" max="27" width="39.6640625" bestFit="1" customWidth="1"/>
    <col min="28" max="28" width="37.33203125" customWidth="1"/>
    <col min="29" max="29" width="19.5546875" bestFit="1" customWidth="1"/>
    <col min="30" max="30" width="17" customWidth="1"/>
    <col min="31" max="31" width="21.6640625" customWidth="1"/>
    <col min="32" max="32" width="12.6640625" bestFit="1" customWidth="1"/>
    <col min="33" max="33" width="12.5546875" bestFit="1" customWidth="1"/>
    <col min="34" max="34" width="14.109375" customWidth="1"/>
    <col min="35" max="35" width="23.109375" bestFit="1" customWidth="1"/>
    <col min="36" max="36" width="24.5546875" bestFit="1" customWidth="1"/>
    <col min="37" max="37" width="27.44140625" customWidth="1"/>
    <col min="38" max="38" width="21.88671875" customWidth="1"/>
    <col min="39" max="39" width="23" customWidth="1"/>
    <col min="40" max="40" width="12.6640625" bestFit="1" customWidth="1"/>
    <col min="41" max="41" width="11.44140625" customWidth="1"/>
  </cols>
  <sheetData>
    <row r="1" spans="1:31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>
        <v>2025</v>
      </c>
      <c r="C2">
        <v>1</v>
      </c>
      <c r="D2" t="s">
        <v>31</v>
      </c>
      <c r="G2" t="s">
        <v>50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37</v>
      </c>
      <c r="R2">
        <v>1</v>
      </c>
      <c r="S2" t="s">
        <v>38</v>
      </c>
      <c r="T2" t="s">
        <v>39</v>
      </c>
      <c r="V2" t="s">
        <v>40</v>
      </c>
      <c r="W2" t="s">
        <v>41</v>
      </c>
      <c r="X2" t="s">
        <v>43</v>
      </c>
      <c r="Y2" t="s">
        <v>44</v>
      </c>
      <c r="Z2">
        <v>5998.7539999999999</v>
      </c>
      <c r="AB2" t="s">
        <v>45</v>
      </c>
      <c r="AC2">
        <v>2</v>
      </c>
      <c r="AD2">
        <v>2</v>
      </c>
    </row>
    <row r="3" spans="1:31" x14ac:dyDescent="0.3">
      <c r="A3" t="s">
        <v>30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B3" t="s">
        <v>45</v>
      </c>
      <c r="AC3">
        <v>8</v>
      </c>
      <c r="AD3">
        <v>8</v>
      </c>
    </row>
    <row r="4" spans="1:31" x14ac:dyDescent="0.3">
      <c r="A4" t="s">
        <v>30</v>
      </c>
      <c r="B4">
        <v>2025</v>
      </c>
      <c r="C4">
        <v>1</v>
      </c>
      <c r="D4" t="s">
        <v>31</v>
      </c>
      <c r="G4" t="s">
        <v>78</v>
      </c>
      <c r="H4" t="s">
        <v>32</v>
      </c>
      <c r="I4" t="s">
        <v>84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39</v>
      </c>
      <c r="V4" t="s">
        <v>40</v>
      </c>
      <c r="W4" t="s">
        <v>41</v>
      </c>
      <c r="X4" t="s">
        <v>43</v>
      </c>
      <c r="Y4" t="s">
        <v>44</v>
      </c>
      <c r="Z4">
        <v>12569</v>
      </c>
      <c r="AB4" t="s">
        <v>45</v>
      </c>
      <c r="AC4">
        <v>12</v>
      </c>
      <c r="AD4">
        <v>12</v>
      </c>
    </row>
    <row r="5" spans="1:31" x14ac:dyDescent="0.3">
      <c r="A5" t="s">
        <v>30</v>
      </c>
      <c r="B5">
        <v>2025</v>
      </c>
      <c r="C5">
        <v>1</v>
      </c>
      <c r="D5" t="s">
        <v>31</v>
      </c>
      <c r="E5" t="s">
        <v>49</v>
      </c>
      <c r="F5" t="s">
        <v>78</v>
      </c>
      <c r="H5" t="s">
        <v>51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37</v>
      </c>
      <c r="R5">
        <v>1</v>
      </c>
      <c r="S5" t="s">
        <v>38</v>
      </c>
      <c r="T5" t="s">
        <v>52</v>
      </c>
      <c r="V5" t="s">
        <v>40</v>
      </c>
      <c r="W5" t="s">
        <v>41</v>
      </c>
      <c r="X5" t="s">
        <v>43</v>
      </c>
      <c r="Y5" t="s">
        <v>44</v>
      </c>
      <c r="Z5">
        <v>258</v>
      </c>
    </row>
    <row r="6" spans="1:31" x14ac:dyDescent="0.3">
      <c r="A6" t="s">
        <v>30</v>
      </c>
      <c r="B6">
        <v>2025</v>
      </c>
      <c r="C6">
        <v>1</v>
      </c>
      <c r="D6" t="s">
        <v>31</v>
      </c>
      <c r="G6" t="s">
        <v>50</v>
      </c>
      <c r="H6" t="s">
        <v>32</v>
      </c>
      <c r="I6" t="s">
        <v>33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53</v>
      </c>
      <c r="Q6" t="s">
        <v>37</v>
      </c>
      <c r="R6">
        <v>1</v>
      </c>
      <c r="S6" t="s">
        <v>38</v>
      </c>
      <c r="T6" t="s">
        <v>39</v>
      </c>
      <c r="V6" t="s">
        <v>40</v>
      </c>
      <c r="W6" t="s">
        <v>41</v>
      </c>
      <c r="X6" t="s">
        <v>43</v>
      </c>
      <c r="Y6" t="s">
        <v>44</v>
      </c>
      <c r="Z6">
        <v>249986.1</v>
      </c>
    </row>
    <row r="7" spans="1:31" x14ac:dyDescent="0.3">
      <c r="A7" t="s">
        <v>30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672669</v>
      </c>
    </row>
    <row r="8" spans="1:31" x14ac:dyDescent="0.3">
      <c r="A8" t="s">
        <v>30</v>
      </c>
      <c r="B8">
        <v>2025</v>
      </c>
      <c r="C8">
        <v>1</v>
      </c>
      <c r="D8" t="s">
        <v>31</v>
      </c>
      <c r="G8" t="s">
        <v>78</v>
      </c>
      <c r="H8" t="s">
        <v>32</v>
      </c>
      <c r="I8" t="s">
        <v>84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39</v>
      </c>
      <c r="V8" t="s">
        <v>40</v>
      </c>
      <c r="W8" t="s">
        <v>41</v>
      </c>
      <c r="X8" t="s">
        <v>43</v>
      </c>
      <c r="Y8" t="s">
        <v>44</v>
      </c>
      <c r="Z8">
        <v>210300</v>
      </c>
    </row>
    <row r="9" spans="1:31" x14ac:dyDescent="0.3">
      <c r="A9" t="s">
        <v>30</v>
      </c>
      <c r="B9">
        <v>2025</v>
      </c>
      <c r="C9">
        <v>1</v>
      </c>
      <c r="D9" t="s">
        <v>31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37</v>
      </c>
      <c r="R9">
        <v>1</v>
      </c>
      <c r="S9" t="s">
        <v>38</v>
      </c>
      <c r="T9" t="s">
        <v>52</v>
      </c>
      <c r="V9" t="s">
        <v>40</v>
      </c>
      <c r="W9" t="s">
        <v>41</v>
      </c>
      <c r="X9" t="s">
        <v>43</v>
      </c>
      <c r="Y9" t="s">
        <v>44</v>
      </c>
      <c r="Z9">
        <v>5236</v>
      </c>
    </row>
    <row r="10" spans="1:31" x14ac:dyDescent="0.3">
      <c r="A10" t="s">
        <v>30</v>
      </c>
      <c r="B10">
        <v>2025</v>
      </c>
      <c r="C10">
        <v>1</v>
      </c>
      <c r="D10" t="s">
        <v>31</v>
      </c>
      <c r="E10" t="s">
        <v>49</v>
      </c>
      <c r="F10" t="s">
        <v>50</v>
      </c>
      <c r="H10" t="s">
        <v>51</v>
      </c>
      <c r="I10" t="s">
        <v>33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523.418731364515</v>
      </c>
    </row>
    <row r="11" spans="1:31" x14ac:dyDescent="0.3">
      <c r="A11" t="s">
        <v>30</v>
      </c>
      <c r="B11">
        <v>2025</v>
      </c>
      <c r="C11">
        <v>1</v>
      </c>
      <c r="D11" t="s">
        <v>31</v>
      </c>
      <c r="E11" t="s">
        <v>49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2</v>
      </c>
      <c r="S11" t="s">
        <v>38</v>
      </c>
      <c r="T11" t="s">
        <v>39</v>
      </c>
      <c r="V11" t="s">
        <v>40</v>
      </c>
      <c r="W11" t="s">
        <v>41</v>
      </c>
      <c r="X11" t="s">
        <v>43</v>
      </c>
      <c r="Y11" t="s">
        <v>44</v>
      </c>
      <c r="Z11">
        <v>1819.45994532345</v>
      </c>
    </row>
    <row r="12" spans="1:31" x14ac:dyDescent="0.3">
      <c r="A12" t="s">
        <v>30</v>
      </c>
      <c r="B12">
        <v>2025</v>
      </c>
      <c r="C12">
        <v>1</v>
      </c>
      <c r="D12" t="s">
        <v>31</v>
      </c>
      <c r="E12" t="s">
        <v>49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52</v>
      </c>
      <c r="V12" t="s">
        <v>40</v>
      </c>
      <c r="W12" t="s">
        <v>41</v>
      </c>
      <c r="X12" t="s">
        <v>43</v>
      </c>
      <c r="Y12" t="s">
        <v>44</v>
      </c>
      <c r="Z12">
        <v>206.82454807327201</v>
      </c>
    </row>
    <row r="13" spans="1:31" x14ac:dyDescent="0.3">
      <c r="A13" t="s">
        <v>30</v>
      </c>
      <c r="B13">
        <v>2025</v>
      </c>
      <c r="C13">
        <v>1</v>
      </c>
      <c r="D13" t="s">
        <v>31</v>
      </c>
      <c r="H13" t="s">
        <v>32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53</v>
      </c>
      <c r="Q13" t="s">
        <v>37</v>
      </c>
      <c r="R13">
        <v>1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10888.5</v>
      </c>
    </row>
    <row r="14" spans="1:31" x14ac:dyDescent="0.3">
      <c r="A14" t="s">
        <v>30</v>
      </c>
      <c r="B14">
        <v>2025</v>
      </c>
      <c r="C14">
        <v>1</v>
      </c>
      <c r="D14" t="s">
        <v>31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2</v>
      </c>
      <c r="S14" t="s">
        <v>38</v>
      </c>
      <c r="T14" t="s">
        <v>39</v>
      </c>
      <c r="V14" t="s">
        <v>40</v>
      </c>
      <c r="W14" t="s">
        <v>41</v>
      </c>
      <c r="X14" t="s">
        <v>43</v>
      </c>
      <c r="Y14" t="s">
        <v>44</v>
      </c>
      <c r="Z14">
        <v>37849.599999999999</v>
      </c>
    </row>
    <row r="15" spans="1:31" x14ac:dyDescent="0.3">
      <c r="A15" t="s">
        <v>30</v>
      </c>
      <c r="B15">
        <v>2025</v>
      </c>
      <c r="C15">
        <v>1</v>
      </c>
      <c r="D15" t="s">
        <v>31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52</v>
      </c>
      <c r="V15" t="s">
        <v>40</v>
      </c>
      <c r="W15" t="s">
        <v>41</v>
      </c>
      <c r="X15" t="s">
        <v>43</v>
      </c>
      <c r="Y15" t="s">
        <v>44</v>
      </c>
      <c r="Z15">
        <v>4302.5</v>
      </c>
    </row>
    <row r="17" spans="1:27" s="2" customFormat="1" x14ac:dyDescent="0.3">
      <c r="A17" s="1" t="s">
        <v>0</v>
      </c>
      <c r="B17" s="1" t="s">
        <v>8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6</v>
      </c>
      <c r="H17" s="1" t="s">
        <v>7</v>
      </c>
      <c r="I17" s="1" t="s">
        <v>83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58</v>
      </c>
      <c r="W17" s="1" t="s">
        <v>56</v>
      </c>
      <c r="X17" s="1" t="s">
        <v>54</v>
      </c>
      <c r="Y17" s="1" t="s">
        <v>55</v>
      </c>
      <c r="Z17" s="1" t="s">
        <v>57</v>
      </c>
      <c r="AA17" s="1" t="s">
        <v>29</v>
      </c>
    </row>
    <row r="18" spans="1:27" x14ac:dyDescent="0.3">
      <c r="A18" t="s">
        <v>59</v>
      </c>
      <c r="B18">
        <v>2025</v>
      </c>
      <c r="C18">
        <v>1</v>
      </c>
      <c r="D18" t="s">
        <v>31</v>
      </c>
      <c r="E18" t="s">
        <v>49</v>
      </c>
      <c r="F18" t="s">
        <v>50</v>
      </c>
      <c r="G18" t="s">
        <v>33</v>
      </c>
      <c r="H18" t="s">
        <v>32</v>
      </c>
      <c r="J18">
        <v>2024</v>
      </c>
      <c r="K18" t="s">
        <v>34</v>
      </c>
      <c r="L18" t="s">
        <v>35</v>
      </c>
      <c r="M18">
        <v>127160</v>
      </c>
      <c r="N18" t="s">
        <v>36</v>
      </c>
      <c r="O18" t="s">
        <v>37</v>
      </c>
      <c r="P18">
        <v>1</v>
      </c>
      <c r="Q18" t="s">
        <v>38</v>
      </c>
      <c r="R18" t="s">
        <v>39</v>
      </c>
      <c r="T18" t="s">
        <v>40</v>
      </c>
      <c r="U18" t="s">
        <v>41</v>
      </c>
      <c r="V18">
        <v>2.3996350197070956E-2</v>
      </c>
      <c r="W18" t="s">
        <v>60</v>
      </c>
      <c r="X18" t="s">
        <v>53</v>
      </c>
      <c r="Y18" t="s">
        <v>43</v>
      </c>
      <c r="Z18">
        <f>SUM(Z6)</f>
        <v>249986.1</v>
      </c>
    </row>
    <row r="19" spans="1:27" x14ac:dyDescent="0.3">
      <c r="A19" t="s">
        <v>59</v>
      </c>
      <c r="B19">
        <v>2025</v>
      </c>
      <c r="C19">
        <v>1</v>
      </c>
      <c r="D19" t="s">
        <v>31</v>
      </c>
      <c r="E19" t="s">
        <v>49</v>
      </c>
      <c r="F19" t="s">
        <v>50</v>
      </c>
      <c r="G19" t="s">
        <v>46</v>
      </c>
      <c r="H19" t="s">
        <v>32</v>
      </c>
      <c r="J19">
        <v>2024</v>
      </c>
      <c r="K19" t="s">
        <v>34</v>
      </c>
      <c r="L19" t="s">
        <v>35</v>
      </c>
      <c r="M19">
        <v>127160</v>
      </c>
      <c r="N19" t="s">
        <v>36</v>
      </c>
      <c r="O19" t="s">
        <v>47</v>
      </c>
      <c r="P19">
        <v>2024</v>
      </c>
      <c r="Q19" t="s">
        <v>38</v>
      </c>
      <c r="R19" t="s">
        <v>48</v>
      </c>
      <c r="T19" t="s">
        <v>40</v>
      </c>
      <c r="U19" t="s">
        <v>41</v>
      </c>
      <c r="V19">
        <v>5.7017641663284616E-2</v>
      </c>
      <c r="W19" t="s">
        <v>60</v>
      </c>
      <c r="X19" t="s">
        <v>53</v>
      </c>
      <c r="Y19" t="s">
        <v>43</v>
      </c>
      <c r="Z19">
        <f>SUM(Z7:Z7)</f>
        <v>672669</v>
      </c>
    </row>
    <row r="20" spans="1:27" x14ac:dyDescent="0.3">
      <c r="A20" t="s">
        <v>59</v>
      </c>
      <c r="B20">
        <v>2025</v>
      </c>
      <c r="C20">
        <v>1</v>
      </c>
      <c r="D20" t="s">
        <v>31</v>
      </c>
      <c r="E20" t="s">
        <v>49</v>
      </c>
      <c r="F20" t="s">
        <v>78</v>
      </c>
      <c r="G20" t="s">
        <v>84</v>
      </c>
      <c r="H20" t="s">
        <v>32</v>
      </c>
      <c r="J20">
        <v>2024</v>
      </c>
      <c r="K20" t="s">
        <v>34</v>
      </c>
      <c r="L20" t="s">
        <v>35</v>
      </c>
      <c r="M20">
        <v>127160</v>
      </c>
      <c r="N20" t="s">
        <v>36</v>
      </c>
      <c r="O20" t="s">
        <v>47</v>
      </c>
      <c r="P20">
        <v>2024</v>
      </c>
      <c r="Q20" t="s">
        <v>38</v>
      </c>
      <c r="R20" t="s">
        <v>39</v>
      </c>
      <c r="T20" t="s">
        <v>40</v>
      </c>
      <c r="U20" t="s">
        <v>41</v>
      </c>
      <c r="V20">
        <v>5.9766999524488829E-2</v>
      </c>
      <c r="W20" t="s">
        <v>60</v>
      </c>
      <c r="X20" t="s">
        <v>53</v>
      </c>
      <c r="Y20" t="s">
        <v>43</v>
      </c>
      <c r="Z20">
        <f>Z8</f>
        <v>210300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467D-9E41-4DB5-A11E-80AE37F79CC6}">
  <sheetPr>
    <tabColor rgb="FF00B050"/>
  </sheetPr>
  <dimension ref="A1:AZ203"/>
  <sheetViews>
    <sheetView topLeftCell="J19" zoomScale="60" zoomScaleNormal="60" workbookViewId="0">
      <selection activeCell="AJ20" sqref="AJ20"/>
    </sheetView>
  </sheetViews>
  <sheetFormatPr defaultRowHeight="14.4" x14ac:dyDescent="0.3"/>
  <cols>
    <col min="1" max="1" width="15.109375" customWidth="1"/>
    <col min="2" max="2" width="24" customWidth="1"/>
    <col min="3" max="3" width="10.6640625" customWidth="1"/>
    <col min="4" max="4" width="34" customWidth="1"/>
    <col min="5" max="5" width="46.5546875" customWidth="1"/>
    <col min="6" max="6" width="47.33203125" customWidth="1"/>
    <col min="7" max="7" width="54" customWidth="1"/>
    <col min="8" max="8" width="30" customWidth="1"/>
    <col min="9" max="9" width="44.109375" bestFit="1" customWidth="1"/>
    <col min="10" max="10" width="22.6640625" bestFit="1" customWidth="1"/>
    <col min="11" max="11" width="25.44140625" customWidth="1"/>
    <col min="12" max="12" width="42.88671875" bestFit="1" customWidth="1"/>
    <col min="13" max="13" width="22.6640625" bestFit="1" customWidth="1"/>
    <col min="14" max="14" width="26.33203125" customWidth="1"/>
    <col min="15" max="15" width="17.44140625" bestFit="1" customWidth="1"/>
    <col min="16" max="16" width="19.33203125" bestFit="1" customWidth="1"/>
    <col min="17" max="17" width="18.6640625" bestFit="1" customWidth="1"/>
    <col min="18" max="18" width="17.6640625" bestFit="1" customWidth="1"/>
    <col min="19" max="19" width="16.6640625" bestFit="1" customWidth="1"/>
    <col min="20" max="20" width="23.88671875" customWidth="1"/>
    <col min="21" max="21" width="32.6640625" bestFit="1" customWidth="1"/>
    <col min="22" max="22" width="34.109375" customWidth="1"/>
    <col min="23" max="23" width="26.44140625" bestFit="1" customWidth="1"/>
    <col min="24" max="24" width="27.5546875" bestFit="1" customWidth="1"/>
    <col min="25" max="25" width="40.44140625" bestFit="1" customWidth="1"/>
    <col min="26" max="26" width="48" customWidth="1"/>
    <col min="27" max="27" width="40.5546875" customWidth="1"/>
    <col min="28" max="30" width="28" customWidth="1"/>
    <col min="31" max="31" width="24.6640625" customWidth="1"/>
    <col min="32" max="32" width="23.5546875" customWidth="1"/>
    <col min="33" max="33" width="18.6640625" customWidth="1"/>
    <col min="34" max="34" width="27.33203125" customWidth="1"/>
    <col min="35" max="35" width="32" bestFit="1" customWidth="1"/>
    <col min="36" max="36" width="32.44140625" customWidth="1"/>
    <col min="37" max="37" width="19.33203125" bestFit="1" customWidth="1"/>
    <col min="38" max="38" width="28.6640625" customWidth="1"/>
    <col min="39" max="39" width="13.6640625" bestFit="1" customWidth="1"/>
    <col min="40" max="40" width="12" bestFit="1" customWidth="1"/>
    <col min="41" max="41" width="16.33203125" customWidth="1"/>
    <col min="42" max="42" width="11" bestFit="1" customWidth="1"/>
    <col min="43" max="43" width="13.6640625" bestFit="1" customWidth="1"/>
    <col min="44" max="44" width="13.33203125" bestFit="1" customWidth="1"/>
    <col min="45" max="45" width="25.44140625" bestFit="1" customWidth="1"/>
    <col min="46" max="46" width="16.33203125" customWidth="1"/>
    <col min="47" max="47" width="17.88671875" bestFit="1" customWidth="1"/>
    <col min="48" max="48" width="15.33203125" bestFit="1" customWidth="1"/>
    <col min="49" max="49" width="11.33203125" bestFit="1" customWidth="1"/>
    <col min="50" max="50" width="13.109375" bestFit="1" customWidth="1"/>
    <col min="51" max="51" width="9.6640625" bestFit="1" customWidth="1"/>
    <col min="52" max="52" width="12" bestFit="1" customWidth="1"/>
  </cols>
  <sheetData>
    <row r="1" spans="1:44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3">
      <c r="A2" t="s">
        <v>72</v>
      </c>
      <c r="B2">
        <v>2025</v>
      </c>
      <c r="C2">
        <v>1</v>
      </c>
      <c r="D2" t="s">
        <v>31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3">
      <c r="A3" t="s">
        <v>72</v>
      </c>
      <c r="B3">
        <v>2025</v>
      </c>
      <c r="C3">
        <v>1</v>
      </c>
      <c r="D3" t="s">
        <v>31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3">
      <c r="A4" t="s">
        <v>72</v>
      </c>
      <c r="B4">
        <v>2025</v>
      </c>
      <c r="C4">
        <v>1</v>
      </c>
      <c r="D4" t="s">
        <v>31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3">
      <c r="A5" t="s">
        <v>72</v>
      </c>
      <c r="B5">
        <v>2025</v>
      </c>
      <c r="C5">
        <v>1</v>
      </c>
      <c r="D5" t="s">
        <v>31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3">
      <c r="A6" t="s">
        <v>72</v>
      </c>
      <c r="B6">
        <v>2025</v>
      </c>
      <c r="C6">
        <v>1</v>
      </c>
      <c r="D6" t="s">
        <v>31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3">
      <c r="A7" t="s">
        <v>72</v>
      </c>
      <c r="B7">
        <v>2025</v>
      </c>
      <c r="C7">
        <v>1</v>
      </c>
      <c r="D7" t="s">
        <v>31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3">
      <c r="A8" t="s">
        <v>72</v>
      </c>
      <c r="B8">
        <v>2025</v>
      </c>
      <c r="C8">
        <v>1</v>
      </c>
      <c r="D8" t="s">
        <v>31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3">
      <c r="A9" t="s">
        <v>72</v>
      </c>
      <c r="B9">
        <v>2025</v>
      </c>
      <c r="C9">
        <v>1</v>
      </c>
      <c r="D9" t="s">
        <v>31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3">
      <c r="A10" t="s">
        <v>72</v>
      </c>
      <c r="B10">
        <v>2025</v>
      </c>
      <c r="C10">
        <v>1</v>
      </c>
      <c r="D10" t="s">
        <v>31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3">
      <c r="A11" t="s">
        <v>72</v>
      </c>
      <c r="B11">
        <v>2025</v>
      </c>
      <c r="C11">
        <v>1</v>
      </c>
      <c r="D11" t="s">
        <v>31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3">
      <c r="A12" t="s">
        <v>72</v>
      </c>
      <c r="B12">
        <v>2025</v>
      </c>
      <c r="C12">
        <v>1</v>
      </c>
      <c r="D12" t="s">
        <v>31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3">
      <c r="A13" t="s">
        <v>72</v>
      </c>
      <c r="B13">
        <v>2025</v>
      </c>
      <c r="C13">
        <v>1</v>
      </c>
      <c r="D13" t="s">
        <v>31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3">
      <c r="A14" t="s">
        <v>72</v>
      </c>
      <c r="B14">
        <v>2025</v>
      </c>
      <c r="C14">
        <v>1</v>
      </c>
      <c r="D14" t="s">
        <v>31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3">
      <c r="A15" t="s">
        <v>72</v>
      </c>
      <c r="B15">
        <v>2025</v>
      </c>
      <c r="C15">
        <v>1</v>
      </c>
      <c r="D15" t="s">
        <v>31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3">
      <c r="A16" t="s">
        <v>72</v>
      </c>
      <c r="B16">
        <v>2025</v>
      </c>
      <c r="C16">
        <v>1</v>
      </c>
      <c r="D16" t="s">
        <v>31</v>
      </c>
      <c r="G16" t="s">
        <v>78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3">
      <c r="A17" t="s">
        <v>72</v>
      </c>
      <c r="B17">
        <v>2025</v>
      </c>
      <c r="C17">
        <v>1</v>
      </c>
      <c r="D17" t="s">
        <v>31</v>
      </c>
      <c r="G17" t="s">
        <v>78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3">
      <c r="A18" t="s">
        <v>72</v>
      </c>
      <c r="B18">
        <v>2025</v>
      </c>
      <c r="C18">
        <v>1</v>
      </c>
      <c r="D18" t="s">
        <v>31</v>
      </c>
      <c r="G18" t="s">
        <v>78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3">
      <c r="A19" t="s">
        <v>72</v>
      </c>
      <c r="B19">
        <v>2025</v>
      </c>
      <c r="C19">
        <v>1</v>
      </c>
      <c r="D19" t="s">
        <v>31</v>
      </c>
      <c r="G19" t="s">
        <v>78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3">
      <c r="A20" t="s">
        <v>72</v>
      </c>
      <c r="B20">
        <v>2025</v>
      </c>
      <c r="C20">
        <v>1</v>
      </c>
      <c r="D20" t="s">
        <v>31</v>
      </c>
      <c r="G20" t="s">
        <v>78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3">
      <c r="A21" t="s">
        <v>72</v>
      </c>
      <c r="B21">
        <v>2025</v>
      </c>
      <c r="C21">
        <v>1</v>
      </c>
      <c r="D21" t="s">
        <v>31</v>
      </c>
      <c r="G21" t="s">
        <v>78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3">
      <c r="A22" t="s">
        <v>72</v>
      </c>
      <c r="B22">
        <v>2025</v>
      </c>
      <c r="C22">
        <v>1</v>
      </c>
      <c r="D22" t="s">
        <v>31</v>
      </c>
      <c r="G22" t="s">
        <v>78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3">
      <c r="A23" t="s">
        <v>72</v>
      </c>
      <c r="B23">
        <v>2025</v>
      </c>
      <c r="C23">
        <v>1</v>
      </c>
      <c r="D23" t="s">
        <v>31</v>
      </c>
      <c r="G23" t="s">
        <v>78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3">
      <c r="A24" t="s">
        <v>72</v>
      </c>
      <c r="B24">
        <v>2025</v>
      </c>
      <c r="C24">
        <v>1</v>
      </c>
      <c r="D24" t="s">
        <v>31</v>
      </c>
      <c r="G24" t="s">
        <v>78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3">
      <c r="A25" t="s">
        <v>72</v>
      </c>
      <c r="B25">
        <v>2025</v>
      </c>
      <c r="C25">
        <v>1</v>
      </c>
      <c r="D25" t="s">
        <v>31</v>
      </c>
      <c r="G25" t="s">
        <v>78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3">
      <c r="A26" t="s">
        <v>72</v>
      </c>
      <c r="B26">
        <v>2025</v>
      </c>
      <c r="C26">
        <v>1</v>
      </c>
      <c r="D26" t="s">
        <v>31</v>
      </c>
      <c r="G26" t="s">
        <v>78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3">
      <c r="A27" t="s">
        <v>72</v>
      </c>
      <c r="B27">
        <v>2025</v>
      </c>
      <c r="C27">
        <v>1</v>
      </c>
      <c r="D27" t="s">
        <v>31</v>
      </c>
      <c r="G27" t="s">
        <v>78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3">
      <c r="A28" t="s">
        <v>72</v>
      </c>
      <c r="B28">
        <v>2025</v>
      </c>
      <c r="C28">
        <v>1</v>
      </c>
      <c r="D28" t="s">
        <v>31</v>
      </c>
      <c r="G28" t="s">
        <v>78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3">
      <c r="A29" t="s">
        <v>72</v>
      </c>
      <c r="B29">
        <v>2025</v>
      </c>
      <c r="C29">
        <v>1</v>
      </c>
      <c r="D29" t="s">
        <v>31</v>
      </c>
      <c r="G29" t="s">
        <v>78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3">
      <c r="A30" t="s">
        <v>72</v>
      </c>
      <c r="B30">
        <v>2025</v>
      </c>
      <c r="C30">
        <v>1</v>
      </c>
      <c r="D30" t="s">
        <v>31</v>
      </c>
      <c r="G30" t="s">
        <v>96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3">
      <c r="A31" t="s">
        <v>72</v>
      </c>
      <c r="B31">
        <v>2025</v>
      </c>
      <c r="C31">
        <v>1</v>
      </c>
      <c r="D31" t="s">
        <v>31</v>
      </c>
      <c r="G31" t="s">
        <v>96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3">
      <c r="A32" t="s">
        <v>72</v>
      </c>
      <c r="B32">
        <v>2025</v>
      </c>
      <c r="C32">
        <v>1</v>
      </c>
      <c r="D32" t="s">
        <v>31</v>
      </c>
      <c r="G32" t="s">
        <v>96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3">
      <c r="A33" t="s">
        <v>72</v>
      </c>
      <c r="B33">
        <v>2025</v>
      </c>
      <c r="C33">
        <v>1</v>
      </c>
      <c r="D33" t="s">
        <v>31</v>
      </c>
      <c r="G33" t="s">
        <v>96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3">
      <c r="A34" t="s">
        <v>72</v>
      </c>
      <c r="B34">
        <v>2025</v>
      </c>
      <c r="C34">
        <v>1</v>
      </c>
      <c r="D34" t="s">
        <v>31</v>
      </c>
      <c r="G34" t="s">
        <v>96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3">
      <c r="A35" t="s">
        <v>72</v>
      </c>
      <c r="B35">
        <v>2025</v>
      </c>
      <c r="C35">
        <v>1</v>
      </c>
      <c r="D35" t="s">
        <v>31</v>
      </c>
      <c r="G35" t="s">
        <v>96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3">
      <c r="A36" t="s">
        <v>72</v>
      </c>
      <c r="B36">
        <v>2025</v>
      </c>
      <c r="C36">
        <v>1</v>
      </c>
      <c r="D36" t="s">
        <v>31</v>
      </c>
      <c r="G36" t="s">
        <v>96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3">
      <c r="A37" t="s">
        <v>72</v>
      </c>
      <c r="B37">
        <v>2025</v>
      </c>
      <c r="C37">
        <v>1</v>
      </c>
      <c r="D37" t="s">
        <v>31</v>
      </c>
      <c r="G37" t="s">
        <v>96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3">
      <c r="A38" t="s">
        <v>72</v>
      </c>
      <c r="B38">
        <v>2025</v>
      </c>
      <c r="C38">
        <v>1</v>
      </c>
      <c r="D38" t="s">
        <v>31</v>
      </c>
      <c r="G38" t="s">
        <v>96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3">
      <c r="A39" t="s">
        <v>72</v>
      </c>
      <c r="B39">
        <v>2025</v>
      </c>
      <c r="C39">
        <v>1</v>
      </c>
      <c r="D39" t="s">
        <v>31</v>
      </c>
      <c r="G39" t="s">
        <v>96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3">
      <c r="A40" t="s">
        <v>72</v>
      </c>
      <c r="B40">
        <v>2025</v>
      </c>
      <c r="C40">
        <v>1</v>
      </c>
      <c r="D40" t="s">
        <v>31</v>
      </c>
      <c r="G40" t="s">
        <v>96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3">
      <c r="A41" t="s">
        <v>72</v>
      </c>
      <c r="B41">
        <v>2025</v>
      </c>
      <c r="C41">
        <v>1</v>
      </c>
      <c r="D41" t="s">
        <v>31</v>
      </c>
      <c r="G41" t="s">
        <v>96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3">
      <c r="A42" t="s">
        <v>72</v>
      </c>
      <c r="B42">
        <v>2025</v>
      </c>
      <c r="C42">
        <v>1</v>
      </c>
      <c r="D42" t="s">
        <v>31</v>
      </c>
      <c r="G42" t="s">
        <v>96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3">
      <c r="A43" t="s">
        <v>72</v>
      </c>
      <c r="B43">
        <v>2025</v>
      </c>
      <c r="C43">
        <v>1</v>
      </c>
      <c r="D43" t="s">
        <v>31</v>
      </c>
      <c r="G43" t="s">
        <v>96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3">
      <c r="A44" t="s">
        <v>72</v>
      </c>
      <c r="B44">
        <v>2025</v>
      </c>
      <c r="C44">
        <v>1</v>
      </c>
      <c r="D44" t="s">
        <v>31</v>
      </c>
      <c r="E44" t="s">
        <v>49</v>
      </c>
      <c r="F44" t="s">
        <v>50</v>
      </c>
      <c r="H44" t="s">
        <v>51</v>
      </c>
      <c r="I44" t="s">
        <v>33</v>
      </c>
      <c r="J44" t="s">
        <v>32</v>
      </c>
      <c r="L44">
        <v>2024</v>
      </c>
      <c r="M44" t="s">
        <v>34</v>
      </c>
      <c r="N44" t="s">
        <v>35</v>
      </c>
      <c r="O44">
        <v>127160</v>
      </c>
      <c r="P44" t="s">
        <v>36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523.418731364515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1.6457259984233616</v>
      </c>
    </row>
    <row r="45" spans="1:36" x14ac:dyDescent="0.3">
      <c r="A45" t="s">
        <v>72</v>
      </c>
      <c r="B45">
        <v>2025</v>
      </c>
      <c r="C45">
        <v>1</v>
      </c>
      <c r="D45" t="s">
        <v>31</v>
      </c>
      <c r="E45" t="s">
        <v>49</v>
      </c>
      <c r="F45" t="s">
        <v>50</v>
      </c>
      <c r="H45" t="s">
        <v>51</v>
      </c>
      <c r="I45" t="s">
        <v>33</v>
      </c>
      <c r="J45" t="s">
        <v>32</v>
      </c>
      <c r="L45">
        <v>2024</v>
      </c>
      <c r="M45" t="s">
        <v>34</v>
      </c>
      <c r="N45" t="s">
        <v>35</v>
      </c>
      <c r="O45">
        <v>127160</v>
      </c>
      <c r="P45" t="s">
        <v>36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523.418731364515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2.4049650259128996</v>
      </c>
    </row>
    <row r="46" spans="1:36" x14ac:dyDescent="0.3">
      <c r="A46" t="s">
        <v>72</v>
      </c>
      <c r="B46">
        <v>2025</v>
      </c>
      <c r="C46">
        <v>1</v>
      </c>
      <c r="D46" t="s">
        <v>31</v>
      </c>
      <c r="E46" t="s">
        <v>49</v>
      </c>
      <c r="F46" t="s">
        <v>50</v>
      </c>
      <c r="H46" t="s">
        <v>51</v>
      </c>
      <c r="I46" t="s">
        <v>33</v>
      </c>
      <c r="J46" t="s">
        <v>32</v>
      </c>
      <c r="L46">
        <v>2024</v>
      </c>
      <c r="M46" t="s">
        <v>34</v>
      </c>
      <c r="N46" t="s">
        <v>35</v>
      </c>
      <c r="O46">
        <v>127160</v>
      </c>
      <c r="P46" t="s">
        <v>36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523.418731364515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0.77081447567769235</v>
      </c>
    </row>
    <row r="47" spans="1:36" x14ac:dyDescent="0.3">
      <c r="A47" t="s">
        <v>72</v>
      </c>
      <c r="B47">
        <v>2025</v>
      </c>
      <c r="C47">
        <v>1</v>
      </c>
      <c r="D47" t="s">
        <v>31</v>
      </c>
      <c r="E47" t="s">
        <v>49</v>
      </c>
      <c r="F47" t="s">
        <v>50</v>
      </c>
      <c r="H47" t="s">
        <v>51</v>
      </c>
      <c r="I47" t="s">
        <v>33</v>
      </c>
      <c r="J47" t="s">
        <v>32</v>
      </c>
      <c r="L47">
        <v>2024</v>
      </c>
      <c r="M47" t="s">
        <v>34</v>
      </c>
      <c r="N47" t="s">
        <v>35</v>
      </c>
      <c r="O47">
        <v>127160</v>
      </c>
      <c r="P47" t="s">
        <v>36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523.418731364515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8.9411303482519937</v>
      </c>
    </row>
    <row r="48" spans="1:36" x14ac:dyDescent="0.3">
      <c r="A48" t="s">
        <v>72</v>
      </c>
      <c r="B48">
        <v>2025</v>
      </c>
      <c r="C48">
        <v>1</v>
      </c>
      <c r="D48" t="s">
        <v>31</v>
      </c>
      <c r="E48" t="s">
        <v>49</v>
      </c>
      <c r="F48" t="s">
        <v>50</v>
      </c>
      <c r="H48" t="s">
        <v>51</v>
      </c>
      <c r="I48" t="s">
        <v>33</v>
      </c>
      <c r="J48" t="s">
        <v>32</v>
      </c>
      <c r="L48">
        <v>2024</v>
      </c>
      <c r="M48" t="s">
        <v>34</v>
      </c>
      <c r="N48" t="s">
        <v>35</v>
      </c>
      <c r="O48">
        <v>127160</v>
      </c>
      <c r="P48" t="s">
        <v>36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523.418731364515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13.240341575382008</v>
      </c>
    </row>
    <row r="49" spans="1:36" x14ac:dyDescent="0.3">
      <c r="A49" t="s">
        <v>72</v>
      </c>
      <c r="B49">
        <v>2025</v>
      </c>
      <c r="C49">
        <v>1</v>
      </c>
      <c r="D49" t="s">
        <v>31</v>
      </c>
      <c r="E49" t="s">
        <v>49</v>
      </c>
      <c r="F49" t="s">
        <v>50</v>
      </c>
      <c r="H49" t="s">
        <v>51</v>
      </c>
      <c r="I49" t="s">
        <v>33</v>
      </c>
      <c r="J49" t="s">
        <v>32</v>
      </c>
      <c r="L49">
        <v>2024</v>
      </c>
      <c r="M49" t="s">
        <v>34</v>
      </c>
      <c r="N49" t="s">
        <v>35</v>
      </c>
      <c r="O49">
        <v>127160</v>
      </c>
      <c r="P49" t="s">
        <v>36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523.418731364515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13.129486355428321</v>
      </c>
    </row>
    <row r="50" spans="1:36" x14ac:dyDescent="0.3">
      <c r="A50" t="s">
        <v>72</v>
      </c>
      <c r="B50">
        <v>2025</v>
      </c>
      <c r="C50">
        <v>1</v>
      </c>
      <c r="D50" t="s">
        <v>31</v>
      </c>
      <c r="E50" t="s">
        <v>49</v>
      </c>
      <c r="F50" t="s">
        <v>50</v>
      </c>
      <c r="H50" t="s">
        <v>51</v>
      </c>
      <c r="I50" t="s">
        <v>33</v>
      </c>
      <c r="J50" t="s">
        <v>32</v>
      </c>
      <c r="L50">
        <v>2024</v>
      </c>
      <c r="M50" t="s">
        <v>34</v>
      </c>
      <c r="N50" t="s">
        <v>35</v>
      </c>
      <c r="O50">
        <v>127160</v>
      </c>
      <c r="P50" t="s">
        <v>36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523.418731364515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18.967528467041134</v>
      </c>
    </row>
    <row r="51" spans="1:36" x14ac:dyDescent="0.3">
      <c r="A51" t="s">
        <v>72</v>
      </c>
      <c r="B51">
        <v>2025</v>
      </c>
      <c r="C51">
        <v>1</v>
      </c>
      <c r="D51" t="s">
        <v>31</v>
      </c>
      <c r="E51" t="s">
        <v>49</v>
      </c>
      <c r="F51" t="s">
        <v>50</v>
      </c>
      <c r="H51" t="s">
        <v>51</v>
      </c>
      <c r="I51" t="s">
        <v>33</v>
      </c>
      <c r="J51" t="s">
        <v>32</v>
      </c>
      <c r="L51">
        <v>2024</v>
      </c>
      <c r="M51" t="s">
        <v>34</v>
      </c>
      <c r="N51" t="s">
        <v>35</v>
      </c>
      <c r="O51">
        <v>127160</v>
      </c>
      <c r="P51" t="s">
        <v>36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523.418731364515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3">
      <c r="A52" t="s">
        <v>72</v>
      </c>
      <c r="B52">
        <v>2025</v>
      </c>
      <c r="C52">
        <v>1</v>
      </c>
      <c r="D52" t="s">
        <v>31</v>
      </c>
      <c r="E52" t="s">
        <v>49</v>
      </c>
      <c r="F52" t="s">
        <v>50</v>
      </c>
      <c r="H52" t="s">
        <v>51</v>
      </c>
      <c r="I52" t="s">
        <v>33</v>
      </c>
      <c r="J52" t="s">
        <v>32</v>
      </c>
      <c r="L52">
        <v>2024</v>
      </c>
      <c r="M52" t="s">
        <v>34</v>
      </c>
      <c r="N52" t="s">
        <v>35</v>
      </c>
      <c r="O52">
        <v>127160</v>
      </c>
      <c r="P52" t="s">
        <v>36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523.418731364515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3">
      <c r="A53" t="s">
        <v>72</v>
      </c>
      <c r="B53">
        <v>2025</v>
      </c>
      <c r="C53">
        <v>1</v>
      </c>
      <c r="D53" t="s">
        <v>31</v>
      </c>
      <c r="E53" t="s">
        <v>49</v>
      </c>
      <c r="F53" t="s">
        <v>50</v>
      </c>
      <c r="H53" t="s">
        <v>51</v>
      </c>
      <c r="I53" t="s">
        <v>33</v>
      </c>
      <c r="J53" t="s">
        <v>32</v>
      </c>
      <c r="L53">
        <v>2024</v>
      </c>
      <c r="M53" t="s">
        <v>34</v>
      </c>
      <c r="N53" t="s">
        <v>35</v>
      </c>
      <c r="O53">
        <v>127160</v>
      </c>
      <c r="P53" t="s">
        <v>36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523.418731364515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3">
      <c r="A54" t="s">
        <v>72</v>
      </c>
      <c r="B54">
        <v>2025</v>
      </c>
      <c r="C54">
        <v>1</v>
      </c>
      <c r="D54" t="s">
        <v>31</v>
      </c>
      <c r="E54" t="s">
        <v>49</v>
      </c>
      <c r="F54" t="s">
        <v>50</v>
      </c>
      <c r="H54" t="s">
        <v>51</v>
      </c>
      <c r="I54" t="s">
        <v>33</v>
      </c>
      <c r="J54" t="s">
        <v>32</v>
      </c>
      <c r="L54">
        <v>2024</v>
      </c>
      <c r="M54" t="s">
        <v>34</v>
      </c>
      <c r="N54" t="s">
        <v>35</v>
      </c>
      <c r="O54">
        <v>127160</v>
      </c>
      <c r="P54" t="s">
        <v>36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523.418731364515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3">
      <c r="A55" t="s">
        <v>72</v>
      </c>
      <c r="B55">
        <v>2025</v>
      </c>
      <c r="C55">
        <v>1</v>
      </c>
      <c r="D55" t="s">
        <v>31</v>
      </c>
      <c r="E55" t="s">
        <v>49</v>
      </c>
      <c r="F55" t="s">
        <v>50</v>
      </c>
      <c r="H55" t="s">
        <v>51</v>
      </c>
      <c r="I55" t="s">
        <v>33</v>
      </c>
      <c r="J55" t="s">
        <v>32</v>
      </c>
      <c r="L55">
        <v>2024</v>
      </c>
      <c r="M55" t="s">
        <v>34</v>
      </c>
      <c r="N55" t="s">
        <v>35</v>
      </c>
      <c r="O55">
        <v>127160</v>
      </c>
      <c r="P55" t="s">
        <v>36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523.418731364515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3">
      <c r="A56" t="s">
        <v>72</v>
      </c>
      <c r="B56">
        <v>2025</v>
      </c>
      <c r="C56">
        <v>1</v>
      </c>
      <c r="D56" t="s">
        <v>31</v>
      </c>
      <c r="E56" t="s">
        <v>49</v>
      </c>
      <c r="F56" t="s">
        <v>50</v>
      </c>
      <c r="H56" t="s">
        <v>51</v>
      </c>
      <c r="I56" t="s">
        <v>33</v>
      </c>
      <c r="J56" t="s">
        <v>32</v>
      </c>
      <c r="L56">
        <v>2024</v>
      </c>
      <c r="M56" t="s">
        <v>34</v>
      </c>
      <c r="N56" t="s">
        <v>35</v>
      </c>
      <c r="O56">
        <v>127160</v>
      </c>
      <c r="P56" t="s">
        <v>36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523.418731364515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3">
      <c r="A57" t="s">
        <v>72</v>
      </c>
      <c r="B57">
        <v>2025</v>
      </c>
      <c r="C57">
        <v>1</v>
      </c>
      <c r="D57" t="s">
        <v>31</v>
      </c>
      <c r="E57" t="s">
        <v>49</v>
      </c>
      <c r="F57" t="s">
        <v>50</v>
      </c>
      <c r="H57" t="s">
        <v>51</v>
      </c>
      <c r="I57" t="s">
        <v>33</v>
      </c>
      <c r="J57" t="s">
        <v>32</v>
      </c>
      <c r="L57">
        <v>2024</v>
      </c>
      <c r="M57" t="s">
        <v>34</v>
      </c>
      <c r="N57" t="s">
        <v>35</v>
      </c>
      <c r="O57">
        <v>127160</v>
      </c>
      <c r="P57" t="s">
        <v>36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523.418731364515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3">
      <c r="A58" t="s">
        <v>72</v>
      </c>
      <c r="B58">
        <v>2025</v>
      </c>
      <c r="C58">
        <v>1</v>
      </c>
      <c r="D58" t="s">
        <v>31</v>
      </c>
      <c r="E58" t="s">
        <v>49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39</v>
      </c>
      <c r="V58" t="s">
        <v>40</v>
      </c>
      <c r="W58" t="s">
        <v>41</v>
      </c>
      <c r="X58" t="s">
        <v>43</v>
      </c>
      <c r="Y58" t="s">
        <v>44</v>
      </c>
      <c r="Z58">
        <v>5998.7539999999999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18.861200076294068</v>
      </c>
    </row>
    <row r="59" spans="1:36" x14ac:dyDescent="0.3">
      <c r="A59" t="s">
        <v>72</v>
      </c>
      <c r="B59">
        <v>2025</v>
      </c>
      <c r="C59">
        <v>1</v>
      </c>
      <c r="D59" t="s">
        <v>31</v>
      </c>
      <c r="E59" t="s">
        <v>49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39</v>
      </c>
      <c r="V59" t="s">
        <v>40</v>
      </c>
      <c r="W59" t="s">
        <v>41</v>
      </c>
      <c r="X59" t="s">
        <v>43</v>
      </c>
      <c r="Y59" t="s">
        <v>44</v>
      </c>
      <c r="Z59">
        <v>5998.7539999999999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27.562623774364166</v>
      </c>
    </row>
    <row r="60" spans="1:36" x14ac:dyDescent="0.3">
      <c r="A60" t="s">
        <v>72</v>
      </c>
      <c r="B60">
        <v>2025</v>
      </c>
      <c r="C60">
        <v>1</v>
      </c>
      <c r="D60" t="s">
        <v>31</v>
      </c>
      <c r="E60" t="s">
        <v>49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39</v>
      </c>
      <c r="V60" t="s">
        <v>40</v>
      </c>
      <c r="W60" t="s">
        <v>41</v>
      </c>
      <c r="X60" t="s">
        <v>43</v>
      </c>
      <c r="Y60" t="s">
        <v>44</v>
      </c>
      <c r="Z60">
        <v>5998.7539999999999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8.834086634949454</v>
      </c>
    </row>
    <row r="61" spans="1:36" x14ac:dyDescent="0.3">
      <c r="A61" t="s">
        <v>72</v>
      </c>
      <c r="B61">
        <v>2025</v>
      </c>
      <c r="C61">
        <v>1</v>
      </c>
      <c r="D61" t="s">
        <v>31</v>
      </c>
      <c r="E61" t="s">
        <v>49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39</v>
      </c>
      <c r="V61" t="s">
        <v>40</v>
      </c>
      <c r="W61" t="s">
        <v>41</v>
      </c>
      <c r="X61" t="s">
        <v>43</v>
      </c>
      <c r="Y61" t="s">
        <v>44</v>
      </c>
      <c r="Z61">
        <v>5998.7539999999999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102.47176538996565</v>
      </c>
    </row>
    <row r="62" spans="1:36" x14ac:dyDescent="0.3">
      <c r="A62" t="s">
        <v>72</v>
      </c>
      <c r="B62">
        <v>2025</v>
      </c>
      <c r="C62">
        <v>1</v>
      </c>
      <c r="D62" t="s">
        <v>31</v>
      </c>
      <c r="E62" t="s">
        <v>49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39</v>
      </c>
      <c r="V62" t="s">
        <v>40</v>
      </c>
      <c r="W62" t="s">
        <v>41</v>
      </c>
      <c r="X62" t="s">
        <v>43</v>
      </c>
      <c r="Y62" t="s">
        <v>44</v>
      </c>
      <c r="Z62">
        <v>5998.7539999999999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151.74380897609916</v>
      </c>
    </row>
    <row r="63" spans="1:36" x14ac:dyDescent="0.3">
      <c r="A63" t="s">
        <v>72</v>
      </c>
      <c r="B63">
        <v>2025</v>
      </c>
      <c r="C63">
        <v>1</v>
      </c>
      <c r="D63" t="s">
        <v>31</v>
      </c>
      <c r="E63" t="s">
        <v>49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39</v>
      </c>
      <c r="V63" t="s">
        <v>40</v>
      </c>
      <c r="W63" t="s">
        <v>41</v>
      </c>
      <c r="X63" t="s">
        <v>43</v>
      </c>
      <c r="Y63" t="s">
        <v>44</v>
      </c>
      <c r="Z63">
        <v>5998.7539999999999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150.47332866221268</v>
      </c>
    </row>
    <row r="64" spans="1:36" x14ac:dyDescent="0.3">
      <c r="A64" t="s">
        <v>72</v>
      </c>
      <c r="B64">
        <v>2025</v>
      </c>
      <c r="C64">
        <v>1</v>
      </c>
      <c r="D64" t="s">
        <v>31</v>
      </c>
      <c r="E64" t="s">
        <v>49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39</v>
      </c>
      <c r="V64" t="s">
        <v>40</v>
      </c>
      <c r="W64" t="s">
        <v>41</v>
      </c>
      <c r="X64" t="s">
        <v>43</v>
      </c>
      <c r="Y64" t="s">
        <v>44</v>
      </c>
      <c r="Z64">
        <v>5998.7539999999999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217.38147766541829</v>
      </c>
    </row>
    <row r="65" spans="1:36" x14ac:dyDescent="0.3">
      <c r="A65" t="s">
        <v>72</v>
      </c>
      <c r="B65">
        <v>2025</v>
      </c>
      <c r="C65">
        <v>1</v>
      </c>
      <c r="D65" t="s">
        <v>31</v>
      </c>
      <c r="E65" t="s">
        <v>49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39</v>
      </c>
      <c r="V65" t="s">
        <v>40</v>
      </c>
      <c r="W65" t="s">
        <v>41</v>
      </c>
      <c r="X65" t="s">
        <v>43</v>
      </c>
      <c r="Y65" t="s">
        <v>44</v>
      </c>
      <c r="Z65">
        <v>5998.7539999999999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3">
      <c r="A66" t="s">
        <v>72</v>
      </c>
      <c r="B66">
        <v>2025</v>
      </c>
      <c r="C66">
        <v>1</v>
      </c>
      <c r="D66" t="s">
        <v>31</v>
      </c>
      <c r="E66" t="s">
        <v>49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39</v>
      </c>
      <c r="V66" t="s">
        <v>40</v>
      </c>
      <c r="W66" t="s">
        <v>41</v>
      </c>
      <c r="X66" t="s">
        <v>43</v>
      </c>
      <c r="Y66" t="s">
        <v>44</v>
      </c>
      <c r="Z66">
        <v>5998.7539999999999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3">
      <c r="A67" t="s">
        <v>72</v>
      </c>
      <c r="B67">
        <v>2025</v>
      </c>
      <c r="C67">
        <v>1</v>
      </c>
      <c r="D67" t="s">
        <v>31</v>
      </c>
      <c r="E67" t="s">
        <v>49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39</v>
      </c>
      <c r="V67" t="s">
        <v>40</v>
      </c>
      <c r="W67" t="s">
        <v>41</v>
      </c>
      <c r="X67" t="s">
        <v>43</v>
      </c>
      <c r="Y67" t="s">
        <v>44</v>
      </c>
      <c r="Z67">
        <v>5998.7539999999999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3">
      <c r="A68" t="s">
        <v>72</v>
      </c>
      <c r="B68">
        <v>2025</v>
      </c>
      <c r="C68">
        <v>1</v>
      </c>
      <c r="D68" t="s">
        <v>31</v>
      </c>
      <c r="E68" t="s">
        <v>49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39</v>
      </c>
      <c r="V68" t="s">
        <v>40</v>
      </c>
      <c r="W68" t="s">
        <v>41</v>
      </c>
      <c r="X68" t="s">
        <v>43</v>
      </c>
      <c r="Y68" t="s">
        <v>44</v>
      </c>
      <c r="Z68">
        <v>5998.7539999999999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3">
      <c r="A69" t="s">
        <v>72</v>
      </c>
      <c r="B69">
        <v>2025</v>
      </c>
      <c r="C69">
        <v>1</v>
      </c>
      <c r="D69" t="s">
        <v>31</v>
      </c>
      <c r="E69" t="s">
        <v>49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39</v>
      </c>
      <c r="V69" t="s">
        <v>40</v>
      </c>
      <c r="W69" t="s">
        <v>41</v>
      </c>
      <c r="X69" t="s">
        <v>43</v>
      </c>
      <c r="Y69" t="s">
        <v>44</v>
      </c>
      <c r="Z69">
        <v>5998.7539999999999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3">
      <c r="A70" t="s">
        <v>72</v>
      </c>
      <c r="B70">
        <v>2025</v>
      </c>
      <c r="C70">
        <v>1</v>
      </c>
      <c r="D70" t="s">
        <v>31</v>
      </c>
      <c r="E70" t="s">
        <v>49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39</v>
      </c>
      <c r="V70" t="s">
        <v>40</v>
      </c>
      <c r="W70" t="s">
        <v>41</v>
      </c>
      <c r="X70" t="s">
        <v>43</v>
      </c>
      <c r="Y70" t="s">
        <v>44</v>
      </c>
      <c r="Z70">
        <v>5998.7539999999999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3">
      <c r="A71" t="s">
        <v>72</v>
      </c>
      <c r="B71">
        <v>2025</v>
      </c>
      <c r="C71">
        <v>1</v>
      </c>
      <c r="D71" t="s">
        <v>31</v>
      </c>
      <c r="E71" t="s">
        <v>49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39</v>
      </c>
      <c r="V71" t="s">
        <v>40</v>
      </c>
      <c r="W71" t="s">
        <v>41</v>
      </c>
      <c r="X71" t="s">
        <v>43</v>
      </c>
      <c r="Y71" t="s">
        <v>44</v>
      </c>
      <c r="Z71">
        <v>5998.7539999999999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3">
      <c r="A72" t="s">
        <v>72</v>
      </c>
      <c r="B72">
        <v>2025</v>
      </c>
      <c r="C72">
        <v>1</v>
      </c>
      <c r="D72" t="s">
        <v>31</v>
      </c>
      <c r="E72" t="s">
        <v>49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2</v>
      </c>
      <c r="S72" t="s">
        <v>38</v>
      </c>
      <c r="T72" t="s">
        <v>52</v>
      </c>
      <c r="V72" t="s">
        <v>40</v>
      </c>
      <c r="W72" t="s">
        <v>41</v>
      </c>
      <c r="X72" t="s">
        <v>43</v>
      </c>
      <c r="Y72" t="s">
        <v>44</v>
      </c>
      <c r="Z72">
        <v>206.82454807327201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0.65029490822578895</v>
      </c>
    </row>
    <row r="73" spans="1:36" x14ac:dyDescent="0.3">
      <c r="A73" t="s">
        <v>72</v>
      </c>
      <c r="B73">
        <v>2025</v>
      </c>
      <c r="C73">
        <v>1</v>
      </c>
      <c r="D73" t="s">
        <v>31</v>
      </c>
      <c r="E73" t="s">
        <v>49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2</v>
      </c>
      <c r="S73" t="s">
        <v>38</v>
      </c>
      <c r="T73" t="s">
        <v>52</v>
      </c>
      <c r="V73" t="s">
        <v>40</v>
      </c>
      <c r="W73" t="s">
        <v>41</v>
      </c>
      <c r="X73" t="s">
        <v>43</v>
      </c>
      <c r="Y73" t="s">
        <v>44</v>
      </c>
      <c r="Z73">
        <v>206.82454807327201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0.95030188033156404</v>
      </c>
    </row>
    <row r="74" spans="1:36" x14ac:dyDescent="0.3">
      <c r="A74" t="s">
        <v>72</v>
      </c>
      <c r="B74">
        <v>2025</v>
      </c>
      <c r="C74">
        <v>1</v>
      </c>
      <c r="D74" t="s">
        <v>31</v>
      </c>
      <c r="E74" t="s">
        <v>49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2</v>
      </c>
      <c r="S74" t="s">
        <v>38</v>
      </c>
      <c r="T74" t="s">
        <v>52</v>
      </c>
      <c r="V74" t="s">
        <v>40</v>
      </c>
      <c r="W74" t="s">
        <v>41</v>
      </c>
      <c r="X74" t="s">
        <v>43</v>
      </c>
      <c r="Y74" t="s">
        <v>44</v>
      </c>
      <c r="Z74">
        <v>206.82454807327201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0.30458091395539022</v>
      </c>
    </row>
    <row r="75" spans="1:36" x14ac:dyDescent="0.3">
      <c r="A75" t="s">
        <v>72</v>
      </c>
      <c r="B75">
        <v>2025</v>
      </c>
      <c r="C75">
        <v>1</v>
      </c>
      <c r="D75" t="s">
        <v>31</v>
      </c>
      <c r="E75" t="s">
        <v>49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2</v>
      </c>
      <c r="S75" t="s">
        <v>38</v>
      </c>
      <c r="T75" t="s">
        <v>52</v>
      </c>
      <c r="V75" t="s">
        <v>40</v>
      </c>
      <c r="W75" t="s">
        <v>41</v>
      </c>
      <c r="X75" t="s">
        <v>43</v>
      </c>
      <c r="Y75" t="s">
        <v>44</v>
      </c>
      <c r="Z75">
        <v>206.82454807327201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3.5330131168989434</v>
      </c>
    </row>
    <row r="76" spans="1:36" x14ac:dyDescent="0.3">
      <c r="A76" t="s">
        <v>72</v>
      </c>
      <c r="B76">
        <v>2025</v>
      </c>
      <c r="C76">
        <v>1</v>
      </c>
      <c r="D76" t="s">
        <v>31</v>
      </c>
      <c r="E76" t="s">
        <v>49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2</v>
      </c>
      <c r="S76" t="s">
        <v>38</v>
      </c>
      <c r="T76" t="s">
        <v>52</v>
      </c>
      <c r="V76" t="s">
        <v>40</v>
      </c>
      <c r="W76" t="s">
        <v>41</v>
      </c>
      <c r="X76" t="s">
        <v>43</v>
      </c>
      <c r="Y76" t="s">
        <v>44</v>
      </c>
      <c r="Z76">
        <v>206.82454807327201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5.2318105917326534</v>
      </c>
    </row>
    <row r="77" spans="1:36" x14ac:dyDescent="0.3">
      <c r="A77" t="s">
        <v>72</v>
      </c>
      <c r="B77">
        <v>2025</v>
      </c>
      <c r="C77">
        <v>1</v>
      </c>
      <c r="D77" t="s">
        <v>31</v>
      </c>
      <c r="E77" t="s">
        <v>49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2</v>
      </c>
      <c r="S77" t="s">
        <v>38</v>
      </c>
      <c r="T77" t="s">
        <v>52</v>
      </c>
      <c r="V77" t="s">
        <v>40</v>
      </c>
      <c r="W77" t="s">
        <v>41</v>
      </c>
      <c r="X77" t="s">
        <v>43</v>
      </c>
      <c r="Y77" t="s">
        <v>44</v>
      </c>
      <c r="Z77">
        <v>206.82454807327201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5.1880070757432399</v>
      </c>
    </row>
    <row r="78" spans="1:36" x14ac:dyDescent="0.3">
      <c r="A78" t="s">
        <v>72</v>
      </c>
      <c r="B78">
        <v>2025</v>
      </c>
      <c r="C78">
        <v>1</v>
      </c>
      <c r="D78" t="s">
        <v>31</v>
      </c>
      <c r="E78" t="s">
        <v>49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2</v>
      </c>
      <c r="S78" t="s">
        <v>38</v>
      </c>
      <c r="T78" t="s">
        <v>52</v>
      </c>
      <c r="V78" t="s">
        <v>40</v>
      </c>
      <c r="W78" t="s">
        <v>41</v>
      </c>
      <c r="X78" t="s">
        <v>43</v>
      </c>
      <c r="Y78" t="s">
        <v>44</v>
      </c>
      <c r="Z78">
        <v>206.82454807327201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7.4948607456898895</v>
      </c>
    </row>
    <row r="79" spans="1:36" x14ac:dyDescent="0.3">
      <c r="A79" t="s">
        <v>72</v>
      </c>
      <c r="B79">
        <v>2025</v>
      </c>
      <c r="C79">
        <v>1</v>
      </c>
      <c r="D79" t="s">
        <v>31</v>
      </c>
      <c r="E79" t="s">
        <v>49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2</v>
      </c>
      <c r="S79" t="s">
        <v>38</v>
      </c>
      <c r="T79" t="s">
        <v>52</v>
      </c>
      <c r="V79" t="s">
        <v>40</v>
      </c>
      <c r="W79" t="s">
        <v>41</v>
      </c>
      <c r="X79" t="s">
        <v>43</v>
      </c>
      <c r="Y79" t="s">
        <v>44</v>
      </c>
      <c r="Z79">
        <v>206.82454807327201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3">
      <c r="A80" t="s">
        <v>72</v>
      </c>
      <c r="B80">
        <v>2025</v>
      </c>
      <c r="C80">
        <v>1</v>
      </c>
      <c r="D80" t="s">
        <v>31</v>
      </c>
      <c r="E80" t="s">
        <v>49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2</v>
      </c>
      <c r="S80" t="s">
        <v>38</v>
      </c>
      <c r="T80" t="s">
        <v>52</v>
      </c>
      <c r="V80" t="s">
        <v>40</v>
      </c>
      <c r="W80" t="s">
        <v>41</v>
      </c>
      <c r="X80" t="s">
        <v>43</v>
      </c>
      <c r="Y80" t="s">
        <v>44</v>
      </c>
      <c r="Z80">
        <v>206.82454807327201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3">
      <c r="A81" t="s">
        <v>72</v>
      </c>
      <c r="B81">
        <v>2025</v>
      </c>
      <c r="C81">
        <v>1</v>
      </c>
      <c r="D81" t="s">
        <v>31</v>
      </c>
      <c r="E81" t="s">
        <v>49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2</v>
      </c>
      <c r="S81" t="s">
        <v>38</v>
      </c>
      <c r="T81" t="s">
        <v>52</v>
      </c>
      <c r="V81" t="s">
        <v>40</v>
      </c>
      <c r="W81" t="s">
        <v>41</v>
      </c>
      <c r="X81" t="s">
        <v>43</v>
      </c>
      <c r="Y81" t="s">
        <v>44</v>
      </c>
      <c r="Z81">
        <v>206.82454807327201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3">
      <c r="A82" t="s">
        <v>72</v>
      </c>
      <c r="B82">
        <v>2025</v>
      </c>
      <c r="C82">
        <v>1</v>
      </c>
      <c r="D82" t="s">
        <v>31</v>
      </c>
      <c r="E82" t="s">
        <v>49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2</v>
      </c>
      <c r="S82" t="s">
        <v>38</v>
      </c>
      <c r="T82" t="s">
        <v>52</v>
      </c>
      <c r="V82" t="s">
        <v>40</v>
      </c>
      <c r="W82" t="s">
        <v>41</v>
      </c>
      <c r="X82" t="s">
        <v>43</v>
      </c>
      <c r="Y82" t="s">
        <v>44</v>
      </c>
      <c r="Z82">
        <v>206.82454807327201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3">
      <c r="A83" t="s">
        <v>72</v>
      </c>
      <c r="B83">
        <v>2025</v>
      </c>
      <c r="C83">
        <v>1</v>
      </c>
      <c r="D83" t="s">
        <v>31</v>
      </c>
      <c r="E83" t="s">
        <v>49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2</v>
      </c>
      <c r="S83" t="s">
        <v>38</v>
      </c>
      <c r="T83" t="s">
        <v>52</v>
      </c>
      <c r="V83" t="s">
        <v>40</v>
      </c>
      <c r="W83" t="s">
        <v>41</v>
      </c>
      <c r="X83" t="s">
        <v>43</v>
      </c>
      <c r="Y83" t="s">
        <v>44</v>
      </c>
      <c r="Z83">
        <v>206.82454807327201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3">
      <c r="A84" t="s">
        <v>72</v>
      </c>
      <c r="B84">
        <v>2025</v>
      </c>
      <c r="C84">
        <v>1</v>
      </c>
      <c r="D84" t="s">
        <v>31</v>
      </c>
      <c r="E84" t="s">
        <v>49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2</v>
      </c>
      <c r="S84" t="s">
        <v>38</v>
      </c>
      <c r="T84" t="s">
        <v>52</v>
      </c>
      <c r="V84" t="s">
        <v>40</v>
      </c>
      <c r="W84" t="s">
        <v>41</v>
      </c>
      <c r="X84" t="s">
        <v>43</v>
      </c>
      <c r="Y84" t="s">
        <v>44</v>
      </c>
      <c r="Z84">
        <v>206.82454807327201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3">
      <c r="A85" t="s">
        <v>72</v>
      </c>
      <c r="B85">
        <v>2025</v>
      </c>
      <c r="C85">
        <v>1</v>
      </c>
      <c r="D85" t="s">
        <v>31</v>
      </c>
      <c r="E85" t="s">
        <v>49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2</v>
      </c>
      <c r="S85" t="s">
        <v>38</v>
      </c>
      <c r="T85" t="s">
        <v>52</v>
      </c>
      <c r="V85" t="s">
        <v>40</v>
      </c>
      <c r="W85" t="s">
        <v>41</v>
      </c>
      <c r="X85" t="s">
        <v>43</v>
      </c>
      <c r="Y85" t="s">
        <v>44</v>
      </c>
      <c r="Z85">
        <v>206.82454807327201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3">
      <c r="A86" t="s">
        <v>72</v>
      </c>
      <c r="B86">
        <v>2025</v>
      </c>
      <c r="C86">
        <v>1</v>
      </c>
      <c r="D86" t="s">
        <v>31</v>
      </c>
      <c r="E86" t="s">
        <v>49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39</v>
      </c>
      <c r="V86" t="s">
        <v>40</v>
      </c>
      <c r="W86" t="s">
        <v>41</v>
      </c>
      <c r="X86" t="s">
        <v>43</v>
      </c>
      <c r="Y86" t="s">
        <v>44</v>
      </c>
      <c r="Z86">
        <v>1819.45994532345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5.7207210129884736</v>
      </c>
    </row>
    <row r="87" spans="1:36" x14ac:dyDescent="0.3">
      <c r="A87" t="s">
        <v>72</v>
      </c>
      <c r="B87">
        <v>2025</v>
      </c>
      <c r="C87">
        <v>1</v>
      </c>
      <c r="D87" t="s">
        <v>31</v>
      </c>
      <c r="E87" t="s">
        <v>49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39</v>
      </c>
      <c r="V87" t="s">
        <v>40</v>
      </c>
      <c r="W87" t="s">
        <v>41</v>
      </c>
      <c r="X87" t="s">
        <v>43</v>
      </c>
      <c r="Y87" t="s">
        <v>44</v>
      </c>
      <c r="Z87">
        <v>1819.45994532345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8.3599177338286328</v>
      </c>
    </row>
    <row r="88" spans="1:36" x14ac:dyDescent="0.3">
      <c r="A88" t="s">
        <v>72</v>
      </c>
      <c r="B88">
        <v>2025</v>
      </c>
      <c r="C88">
        <v>1</v>
      </c>
      <c r="D88" t="s">
        <v>31</v>
      </c>
      <c r="E88" t="s">
        <v>49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39</v>
      </c>
      <c r="V88" t="s">
        <v>40</v>
      </c>
      <c r="W88" t="s">
        <v>41</v>
      </c>
      <c r="X88" t="s">
        <v>43</v>
      </c>
      <c r="Y88" t="s">
        <v>44</v>
      </c>
      <c r="Z88">
        <v>1819.45994532345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2.6794342268090596</v>
      </c>
    </row>
    <row r="89" spans="1:36" x14ac:dyDescent="0.3">
      <c r="A89" t="s">
        <v>72</v>
      </c>
      <c r="B89">
        <v>2025</v>
      </c>
      <c r="C89">
        <v>1</v>
      </c>
      <c r="D89" t="s">
        <v>31</v>
      </c>
      <c r="E89" t="s">
        <v>49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39</v>
      </c>
      <c r="V89" t="s">
        <v>40</v>
      </c>
      <c r="W89" t="s">
        <v>41</v>
      </c>
      <c r="X89" t="s">
        <v>43</v>
      </c>
      <c r="Y89" t="s">
        <v>44</v>
      </c>
      <c r="Z89">
        <v>1819.45994532345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31.080333124782964</v>
      </c>
    </row>
    <row r="90" spans="1:36" x14ac:dyDescent="0.3">
      <c r="A90" t="s">
        <v>72</v>
      </c>
      <c r="B90">
        <v>2025</v>
      </c>
      <c r="C90">
        <v>1</v>
      </c>
      <c r="D90" t="s">
        <v>31</v>
      </c>
      <c r="E90" t="s">
        <v>49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39</v>
      </c>
      <c r="V90" t="s">
        <v>40</v>
      </c>
      <c r="W90" t="s">
        <v>41</v>
      </c>
      <c r="X90" t="s">
        <v>43</v>
      </c>
      <c r="Y90" t="s">
        <v>44</v>
      </c>
      <c r="Z90">
        <v>1819.45994532345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46.024854892003468</v>
      </c>
    </row>
    <row r="91" spans="1:36" x14ac:dyDescent="0.3">
      <c r="A91" t="s">
        <v>72</v>
      </c>
      <c r="B91">
        <v>2025</v>
      </c>
      <c r="C91">
        <v>1</v>
      </c>
      <c r="D91" t="s">
        <v>31</v>
      </c>
      <c r="E91" t="s">
        <v>49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39</v>
      </c>
      <c r="V91" t="s">
        <v>40</v>
      </c>
      <c r="W91" t="s">
        <v>41</v>
      </c>
      <c r="X91" t="s">
        <v>43</v>
      </c>
      <c r="Y91" t="s">
        <v>44</v>
      </c>
      <c r="Z91">
        <v>1819.45994532345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45.639510195014999</v>
      </c>
    </row>
    <row r="92" spans="1:36" x14ac:dyDescent="0.3">
      <c r="A92" t="s">
        <v>72</v>
      </c>
      <c r="B92">
        <v>2025</v>
      </c>
      <c r="C92">
        <v>1</v>
      </c>
      <c r="D92" t="s">
        <v>31</v>
      </c>
      <c r="E92" t="s">
        <v>49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39</v>
      </c>
      <c r="V92" t="s">
        <v>40</v>
      </c>
      <c r="W92" t="s">
        <v>41</v>
      </c>
      <c r="X92" t="s">
        <v>43</v>
      </c>
      <c r="Y92" t="s">
        <v>44</v>
      </c>
      <c r="Z92">
        <v>1819.45994532345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65.933174033716455</v>
      </c>
    </row>
    <row r="93" spans="1:36" x14ac:dyDescent="0.3">
      <c r="A93" t="s">
        <v>72</v>
      </c>
      <c r="B93">
        <v>2025</v>
      </c>
      <c r="C93">
        <v>1</v>
      </c>
      <c r="D93" t="s">
        <v>31</v>
      </c>
      <c r="E93" t="s">
        <v>49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39</v>
      </c>
      <c r="V93" t="s">
        <v>40</v>
      </c>
      <c r="W93" t="s">
        <v>41</v>
      </c>
      <c r="X93" t="s">
        <v>43</v>
      </c>
      <c r="Y93" t="s">
        <v>44</v>
      </c>
      <c r="Z93">
        <v>1819.45994532345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3">
      <c r="A94" t="s">
        <v>72</v>
      </c>
      <c r="B94">
        <v>2025</v>
      </c>
      <c r="C94">
        <v>1</v>
      </c>
      <c r="D94" t="s">
        <v>31</v>
      </c>
      <c r="E94" t="s">
        <v>49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39</v>
      </c>
      <c r="V94" t="s">
        <v>40</v>
      </c>
      <c r="W94" t="s">
        <v>41</v>
      </c>
      <c r="X94" t="s">
        <v>43</v>
      </c>
      <c r="Y94" t="s">
        <v>44</v>
      </c>
      <c r="Z94">
        <v>1819.45994532345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3">
      <c r="A95" t="s">
        <v>72</v>
      </c>
      <c r="B95">
        <v>2025</v>
      </c>
      <c r="C95">
        <v>1</v>
      </c>
      <c r="D95" t="s">
        <v>31</v>
      </c>
      <c r="E95" t="s">
        <v>49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39</v>
      </c>
      <c r="V95" t="s">
        <v>40</v>
      </c>
      <c r="W95" t="s">
        <v>41</v>
      </c>
      <c r="X95" t="s">
        <v>43</v>
      </c>
      <c r="Y95" t="s">
        <v>44</v>
      </c>
      <c r="Z95">
        <v>1819.45994532345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3">
      <c r="A96" t="s">
        <v>72</v>
      </c>
      <c r="B96">
        <v>2025</v>
      </c>
      <c r="C96">
        <v>1</v>
      </c>
      <c r="D96" t="s">
        <v>31</v>
      </c>
      <c r="E96" t="s">
        <v>49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39</v>
      </c>
      <c r="V96" t="s">
        <v>40</v>
      </c>
      <c r="W96" t="s">
        <v>41</v>
      </c>
      <c r="X96" t="s">
        <v>43</v>
      </c>
      <c r="Y96" t="s">
        <v>44</v>
      </c>
      <c r="Z96">
        <v>1819.45994532345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3">
      <c r="A97" t="s">
        <v>72</v>
      </c>
      <c r="B97">
        <v>2025</v>
      </c>
      <c r="C97">
        <v>1</v>
      </c>
      <c r="D97" t="s">
        <v>31</v>
      </c>
      <c r="E97" t="s">
        <v>49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39</v>
      </c>
      <c r="V97" t="s">
        <v>40</v>
      </c>
      <c r="W97" t="s">
        <v>41</v>
      </c>
      <c r="X97" t="s">
        <v>43</v>
      </c>
      <c r="Y97" t="s">
        <v>44</v>
      </c>
      <c r="Z97">
        <v>1819.45994532345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3">
      <c r="A98" t="s">
        <v>72</v>
      </c>
      <c r="B98">
        <v>2025</v>
      </c>
      <c r="C98">
        <v>1</v>
      </c>
      <c r="D98" t="s">
        <v>31</v>
      </c>
      <c r="E98" t="s">
        <v>49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39</v>
      </c>
      <c r="V98" t="s">
        <v>40</v>
      </c>
      <c r="W98" t="s">
        <v>41</v>
      </c>
      <c r="X98" t="s">
        <v>43</v>
      </c>
      <c r="Y98" t="s">
        <v>44</v>
      </c>
      <c r="Z98">
        <v>1819.45994532345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3">
      <c r="A99" t="s">
        <v>72</v>
      </c>
      <c r="B99">
        <v>2025</v>
      </c>
      <c r="C99">
        <v>1</v>
      </c>
      <c r="D99" t="s">
        <v>31</v>
      </c>
      <c r="E99" t="s">
        <v>49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39</v>
      </c>
      <c r="V99" t="s">
        <v>40</v>
      </c>
      <c r="W99" t="s">
        <v>41</v>
      </c>
      <c r="X99" t="s">
        <v>43</v>
      </c>
      <c r="Y99" t="s">
        <v>44</v>
      </c>
      <c r="Z99">
        <v>1819.45994532345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3">
      <c r="A100" t="s">
        <v>72</v>
      </c>
      <c r="B100">
        <v>2025</v>
      </c>
      <c r="C100">
        <v>1</v>
      </c>
      <c r="D100" t="s">
        <v>31</v>
      </c>
      <c r="E100" t="s">
        <v>49</v>
      </c>
      <c r="F100" t="s">
        <v>78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53</v>
      </c>
      <c r="Q100" t="s">
        <v>37</v>
      </c>
      <c r="R100">
        <v>1</v>
      </c>
      <c r="S100" t="s">
        <v>38</v>
      </c>
      <c r="T100" t="s">
        <v>52</v>
      </c>
      <c r="V100" t="s">
        <v>40</v>
      </c>
      <c r="W100" t="s">
        <v>41</v>
      </c>
      <c r="X100" t="s">
        <v>43</v>
      </c>
      <c r="Y100" t="s">
        <v>44</v>
      </c>
      <c r="Z100">
        <v>10888.5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34.235472404890743</v>
      </c>
    </row>
    <row r="101" spans="1:36" x14ac:dyDescent="0.3">
      <c r="A101" t="s">
        <v>72</v>
      </c>
      <c r="B101">
        <v>2025</v>
      </c>
      <c r="C101">
        <v>1</v>
      </c>
      <c r="D101" t="s">
        <v>31</v>
      </c>
      <c r="E101" t="s">
        <v>49</v>
      </c>
      <c r="F101" t="s">
        <v>78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53</v>
      </c>
      <c r="Q101" t="s">
        <v>37</v>
      </c>
      <c r="R101">
        <v>1</v>
      </c>
      <c r="S101" t="s">
        <v>38</v>
      </c>
      <c r="T101" t="s">
        <v>52</v>
      </c>
      <c r="V101" t="s">
        <v>40</v>
      </c>
      <c r="W101" t="s">
        <v>41</v>
      </c>
      <c r="X101" t="s">
        <v>43</v>
      </c>
      <c r="Y101" t="s">
        <v>44</v>
      </c>
      <c r="Z101">
        <v>10888.5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50.029660987459096</v>
      </c>
    </row>
    <row r="102" spans="1:36" x14ac:dyDescent="0.3">
      <c r="A102" t="s">
        <v>72</v>
      </c>
      <c r="B102">
        <v>2025</v>
      </c>
      <c r="C102">
        <v>1</v>
      </c>
      <c r="D102" t="s">
        <v>31</v>
      </c>
      <c r="E102" t="s">
        <v>49</v>
      </c>
      <c r="F102" t="s">
        <v>78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53</v>
      </c>
      <c r="Q102" t="s">
        <v>37</v>
      </c>
      <c r="R102">
        <v>1</v>
      </c>
      <c r="S102" t="s">
        <v>38</v>
      </c>
      <c r="T102" t="s">
        <v>52</v>
      </c>
      <c r="V102" t="s">
        <v>40</v>
      </c>
      <c r="W102" t="s">
        <v>41</v>
      </c>
      <c r="X102" t="s">
        <v>43</v>
      </c>
      <c r="Y102" t="s">
        <v>44</v>
      </c>
      <c r="Z102">
        <v>10888.5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16.034988653418214</v>
      </c>
    </row>
    <row r="103" spans="1:36" x14ac:dyDescent="0.3">
      <c r="A103" t="s">
        <v>72</v>
      </c>
      <c r="B103">
        <v>2025</v>
      </c>
      <c r="C103">
        <v>1</v>
      </c>
      <c r="D103" t="s">
        <v>31</v>
      </c>
      <c r="E103" t="s">
        <v>49</v>
      </c>
      <c r="F103" t="s">
        <v>78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53</v>
      </c>
      <c r="Q103" t="s">
        <v>37</v>
      </c>
      <c r="R103">
        <v>1</v>
      </c>
      <c r="S103" t="s">
        <v>38</v>
      </c>
      <c r="T103" t="s">
        <v>52</v>
      </c>
      <c r="V103" t="s">
        <v>40</v>
      </c>
      <c r="W103" t="s">
        <v>41</v>
      </c>
      <c r="X103" t="s">
        <v>43</v>
      </c>
      <c r="Y103" t="s">
        <v>44</v>
      </c>
      <c r="Z103">
        <v>10888.5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185.99926208820051</v>
      </c>
    </row>
    <row r="104" spans="1:36" x14ac:dyDescent="0.3">
      <c r="A104" t="s">
        <v>72</v>
      </c>
      <c r="B104">
        <v>2025</v>
      </c>
      <c r="C104">
        <v>1</v>
      </c>
      <c r="D104" t="s">
        <v>31</v>
      </c>
      <c r="E104" t="s">
        <v>49</v>
      </c>
      <c r="F104" t="s">
        <v>78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53</v>
      </c>
      <c r="Q104" t="s">
        <v>37</v>
      </c>
      <c r="R104">
        <v>1</v>
      </c>
      <c r="S104" t="s">
        <v>38</v>
      </c>
      <c r="T104" t="s">
        <v>52</v>
      </c>
      <c r="V104" t="s">
        <v>40</v>
      </c>
      <c r="W104" t="s">
        <v>41</v>
      </c>
      <c r="X104" t="s">
        <v>43</v>
      </c>
      <c r="Y104" t="s">
        <v>44</v>
      </c>
      <c r="Z104">
        <v>10888.5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275.434275857329</v>
      </c>
    </row>
    <row r="105" spans="1:36" x14ac:dyDescent="0.3">
      <c r="A105" t="s">
        <v>72</v>
      </c>
      <c r="B105">
        <v>2025</v>
      </c>
      <c r="C105">
        <v>1</v>
      </c>
      <c r="D105" t="s">
        <v>31</v>
      </c>
      <c r="E105" t="s">
        <v>49</v>
      </c>
      <c r="F105" t="s">
        <v>78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53</v>
      </c>
      <c r="Q105" t="s">
        <v>37</v>
      </c>
      <c r="R105">
        <v>1</v>
      </c>
      <c r="S105" t="s">
        <v>38</v>
      </c>
      <c r="T105" t="s">
        <v>52</v>
      </c>
      <c r="V105" t="s">
        <v>40</v>
      </c>
      <c r="W105" t="s">
        <v>41</v>
      </c>
      <c r="X105" t="s">
        <v>43</v>
      </c>
      <c r="Y105" t="s">
        <v>44</v>
      </c>
      <c r="Z105">
        <v>10888.5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273.12819281112422</v>
      </c>
    </row>
    <row r="106" spans="1:36" x14ac:dyDescent="0.3">
      <c r="A106" t="s">
        <v>72</v>
      </c>
      <c r="B106">
        <v>2025</v>
      </c>
      <c r="C106">
        <v>1</v>
      </c>
      <c r="D106" t="s">
        <v>31</v>
      </c>
      <c r="E106" t="s">
        <v>49</v>
      </c>
      <c r="F106" t="s">
        <v>78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53</v>
      </c>
      <c r="Q106" t="s">
        <v>37</v>
      </c>
      <c r="R106">
        <v>1</v>
      </c>
      <c r="S106" t="s">
        <v>38</v>
      </c>
      <c r="T106" t="s">
        <v>52</v>
      </c>
      <c r="V106" t="s">
        <v>40</v>
      </c>
      <c r="W106" t="s">
        <v>41</v>
      </c>
      <c r="X106" t="s">
        <v>43</v>
      </c>
      <c r="Y106" t="s">
        <v>44</v>
      </c>
      <c r="Z106">
        <v>10888.5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394.5749766634716</v>
      </c>
    </row>
    <row r="107" spans="1:36" x14ac:dyDescent="0.3">
      <c r="A107" t="s">
        <v>72</v>
      </c>
      <c r="B107">
        <v>2025</v>
      </c>
      <c r="C107">
        <v>1</v>
      </c>
      <c r="D107" t="s">
        <v>31</v>
      </c>
      <c r="E107" t="s">
        <v>49</v>
      </c>
      <c r="F107" t="s">
        <v>78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53</v>
      </c>
      <c r="Q107" t="s">
        <v>37</v>
      </c>
      <c r="R107">
        <v>1</v>
      </c>
      <c r="S107" t="s">
        <v>38</v>
      </c>
      <c r="T107" t="s">
        <v>52</v>
      </c>
      <c r="V107" t="s">
        <v>40</v>
      </c>
      <c r="W107" t="s">
        <v>41</v>
      </c>
      <c r="X107" t="s">
        <v>43</v>
      </c>
      <c r="Y107" t="s">
        <v>44</v>
      </c>
      <c r="Z107">
        <v>10888.5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3">
      <c r="A108" t="s">
        <v>72</v>
      </c>
      <c r="B108">
        <v>2025</v>
      </c>
      <c r="C108">
        <v>1</v>
      </c>
      <c r="D108" t="s">
        <v>31</v>
      </c>
      <c r="E108" t="s">
        <v>49</v>
      </c>
      <c r="F108" t="s">
        <v>78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53</v>
      </c>
      <c r="Q108" t="s">
        <v>37</v>
      </c>
      <c r="R108">
        <v>1</v>
      </c>
      <c r="S108" t="s">
        <v>38</v>
      </c>
      <c r="T108" t="s">
        <v>52</v>
      </c>
      <c r="V108" t="s">
        <v>40</v>
      </c>
      <c r="W108" t="s">
        <v>41</v>
      </c>
      <c r="X108" t="s">
        <v>43</v>
      </c>
      <c r="Y108" t="s">
        <v>44</v>
      </c>
      <c r="Z108">
        <v>10888.5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3">
      <c r="A109" t="s">
        <v>72</v>
      </c>
      <c r="B109">
        <v>2025</v>
      </c>
      <c r="C109">
        <v>1</v>
      </c>
      <c r="D109" t="s">
        <v>31</v>
      </c>
      <c r="E109" t="s">
        <v>49</v>
      </c>
      <c r="F109" t="s">
        <v>78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53</v>
      </c>
      <c r="Q109" t="s">
        <v>37</v>
      </c>
      <c r="R109">
        <v>1</v>
      </c>
      <c r="S109" t="s">
        <v>38</v>
      </c>
      <c r="T109" t="s">
        <v>52</v>
      </c>
      <c r="V109" t="s">
        <v>40</v>
      </c>
      <c r="W109" t="s">
        <v>41</v>
      </c>
      <c r="X109" t="s">
        <v>43</v>
      </c>
      <c r="Y109" t="s">
        <v>44</v>
      </c>
      <c r="Z109">
        <v>10888.5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3">
      <c r="A110" t="s">
        <v>72</v>
      </c>
      <c r="B110">
        <v>2025</v>
      </c>
      <c r="C110">
        <v>1</v>
      </c>
      <c r="D110" t="s">
        <v>31</v>
      </c>
      <c r="E110" t="s">
        <v>49</v>
      </c>
      <c r="F110" t="s">
        <v>78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53</v>
      </c>
      <c r="Q110" t="s">
        <v>37</v>
      </c>
      <c r="R110">
        <v>1</v>
      </c>
      <c r="S110" t="s">
        <v>38</v>
      </c>
      <c r="T110" t="s">
        <v>52</v>
      </c>
      <c r="V110" t="s">
        <v>40</v>
      </c>
      <c r="W110" t="s">
        <v>41</v>
      </c>
      <c r="X110" t="s">
        <v>43</v>
      </c>
      <c r="Y110" t="s">
        <v>44</v>
      </c>
      <c r="Z110">
        <v>10888.5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3">
      <c r="A111" t="s">
        <v>72</v>
      </c>
      <c r="B111">
        <v>2025</v>
      </c>
      <c r="C111">
        <v>1</v>
      </c>
      <c r="D111" t="s">
        <v>31</v>
      </c>
      <c r="E111" t="s">
        <v>49</v>
      </c>
      <c r="F111" t="s">
        <v>78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53</v>
      </c>
      <c r="Q111" t="s">
        <v>37</v>
      </c>
      <c r="R111">
        <v>1</v>
      </c>
      <c r="S111" t="s">
        <v>38</v>
      </c>
      <c r="T111" t="s">
        <v>52</v>
      </c>
      <c r="V111" t="s">
        <v>40</v>
      </c>
      <c r="W111" t="s">
        <v>41</v>
      </c>
      <c r="X111" t="s">
        <v>43</v>
      </c>
      <c r="Y111" t="s">
        <v>44</v>
      </c>
      <c r="Z111">
        <v>10888.5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3">
      <c r="A112" t="s">
        <v>72</v>
      </c>
      <c r="B112">
        <v>2025</v>
      </c>
      <c r="C112">
        <v>1</v>
      </c>
      <c r="D112" t="s">
        <v>31</v>
      </c>
      <c r="E112" t="s">
        <v>49</v>
      </c>
      <c r="F112" t="s">
        <v>78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53</v>
      </c>
      <c r="Q112" t="s">
        <v>37</v>
      </c>
      <c r="R112">
        <v>1</v>
      </c>
      <c r="S112" t="s">
        <v>38</v>
      </c>
      <c r="T112" t="s">
        <v>52</v>
      </c>
      <c r="V112" t="s">
        <v>40</v>
      </c>
      <c r="W112" t="s">
        <v>41</v>
      </c>
      <c r="X112" t="s">
        <v>43</v>
      </c>
      <c r="Y112" t="s">
        <v>44</v>
      </c>
      <c r="Z112">
        <v>10888.5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3">
      <c r="A113" t="s">
        <v>72</v>
      </c>
      <c r="B113">
        <v>2025</v>
      </c>
      <c r="C113">
        <v>1</v>
      </c>
      <c r="D113" t="s">
        <v>31</v>
      </c>
      <c r="E113" t="s">
        <v>49</v>
      </c>
      <c r="F113" t="s">
        <v>78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53</v>
      </c>
      <c r="Q113" t="s">
        <v>37</v>
      </c>
      <c r="R113">
        <v>1</v>
      </c>
      <c r="S113" t="s">
        <v>38</v>
      </c>
      <c r="T113" t="s">
        <v>52</v>
      </c>
      <c r="V113" t="s">
        <v>40</v>
      </c>
      <c r="W113" t="s">
        <v>41</v>
      </c>
      <c r="X113" t="s">
        <v>43</v>
      </c>
      <c r="Y113" t="s">
        <v>44</v>
      </c>
      <c r="Z113">
        <v>10888.5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3">
      <c r="A114" t="s">
        <v>72</v>
      </c>
      <c r="B114">
        <v>2025</v>
      </c>
      <c r="C114">
        <v>1</v>
      </c>
      <c r="D114" t="s">
        <v>31</v>
      </c>
      <c r="E114" t="s">
        <v>49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39</v>
      </c>
      <c r="V114" t="s">
        <v>40</v>
      </c>
      <c r="W114" t="s">
        <v>41</v>
      </c>
      <c r="X114" t="s">
        <v>43</v>
      </c>
      <c r="Y114" t="s">
        <v>44</v>
      </c>
      <c r="Z114">
        <v>249986.1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786.00286799432956</v>
      </c>
    </row>
    <row r="115" spans="1:36" x14ac:dyDescent="0.3">
      <c r="A115" t="s">
        <v>72</v>
      </c>
      <c r="B115">
        <v>2025</v>
      </c>
      <c r="C115">
        <v>1</v>
      </c>
      <c r="D115" t="s">
        <v>31</v>
      </c>
      <c r="E115" t="s">
        <v>49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39</v>
      </c>
      <c r="V115" t="s">
        <v>40</v>
      </c>
      <c r="W115" t="s">
        <v>41</v>
      </c>
      <c r="X115" t="s">
        <v>43</v>
      </c>
      <c r="Y115" t="s">
        <v>44</v>
      </c>
      <c r="Z115">
        <v>249986.1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1148.6173333863294</v>
      </c>
    </row>
    <row r="116" spans="1:36" x14ac:dyDescent="0.3">
      <c r="A116" t="s">
        <v>72</v>
      </c>
      <c r="B116">
        <v>2025</v>
      </c>
      <c r="C116">
        <v>1</v>
      </c>
      <c r="D116" t="s">
        <v>31</v>
      </c>
      <c r="E116" t="s">
        <v>49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39</v>
      </c>
      <c r="V116" t="s">
        <v>40</v>
      </c>
      <c r="W116" t="s">
        <v>41</v>
      </c>
      <c r="X116" t="s">
        <v>43</v>
      </c>
      <c r="Y116" t="s">
        <v>44</v>
      </c>
      <c r="Z116">
        <v>249986.1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368.14292850367553</v>
      </c>
    </row>
    <row r="117" spans="1:36" x14ac:dyDescent="0.3">
      <c r="A117" t="s">
        <v>72</v>
      </c>
      <c r="B117">
        <v>2025</v>
      </c>
      <c r="C117">
        <v>1</v>
      </c>
      <c r="D117" t="s">
        <v>31</v>
      </c>
      <c r="E117" t="s">
        <v>49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39</v>
      </c>
      <c r="V117" t="s">
        <v>40</v>
      </c>
      <c r="W117" t="s">
        <v>41</v>
      </c>
      <c r="X117" t="s">
        <v>43</v>
      </c>
      <c r="Y117" t="s">
        <v>44</v>
      </c>
      <c r="Z117">
        <v>249986.1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4270.3062986000914</v>
      </c>
    </row>
    <row r="118" spans="1:36" x14ac:dyDescent="0.3">
      <c r="A118" t="s">
        <v>72</v>
      </c>
      <c r="B118">
        <v>2025</v>
      </c>
      <c r="C118">
        <v>1</v>
      </c>
      <c r="D118" t="s">
        <v>31</v>
      </c>
      <c r="E118" t="s">
        <v>49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39</v>
      </c>
      <c r="V118" t="s">
        <v>40</v>
      </c>
      <c r="W118" t="s">
        <v>41</v>
      </c>
      <c r="X118" t="s">
        <v>43</v>
      </c>
      <c r="Y118" t="s">
        <v>44</v>
      </c>
      <c r="Z118">
        <v>249986.1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6323.6203726773956</v>
      </c>
    </row>
    <row r="119" spans="1:36" x14ac:dyDescent="0.3">
      <c r="A119" t="s">
        <v>72</v>
      </c>
      <c r="B119">
        <v>2025</v>
      </c>
      <c r="C119">
        <v>1</v>
      </c>
      <c r="D119" t="s">
        <v>31</v>
      </c>
      <c r="E119" t="s">
        <v>49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39</v>
      </c>
      <c r="V119" t="s">
        <v>40</v>
      </c>
      <c r="W119" t="s">
        <v>41</v>
      </c>
      <c r="X119" t="s">
        <v>43</v>
      </c>
      <c r="Y119" t="s">
        <v>44</v>
      </c>
      <c r="Z119">
        <v>249986.1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6270.6756413556486</v>
      </c>
    </row>
    <row r="120" spans="1:36" x14ac:dyDescent="0.3">
      <c r="A120" t="s">
        <v>72</v>
      </c>
      <c r="B120">
        <v>2025</v>
      </c>
      <c r="C120">
        <v>1</v>
      </c>
      <c r="D120" t="s">
        <v>31</v>
      </c>
      <c r="E120" t="s">
        <v>49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39</v>
      </c>
      <c r="V120" t="s">
        <v>40</v>
      </c>
      <c r="W120" t="s">
        <v>41</v>
      </c>
      <c r="X120" t="s">
        <v>43</v>
      </c>
      <c r="Y120" t="s">
        <v>44</v>
      </c>
      <c r="Z120">
        <v>249986.1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9058.9392086781718</v>
      </c>
    </row>
    <row r="121" spans="1:36" x14ac:dyDescent="0.3">
      <c r="A121" t="s">
        <v>72</v>
      </c>
      <c r="B121">
        <v>2025</v>
      </c>
      <c r="C121">
        <v>1</v>
      </c>
      <c r="D121" t="s">
        <v>31</v>
      </c>
      <c r="E121" t="s">
        <v>49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39</v>
      </c>
      <c r="V121" t="s">
        <v>40</v>
      </c>
      <c r="W121" t="s">
        <v>41</v>
      </c>
      <c r="X121" t="s">
        <v>43</v>
      </c>
      <c r="Y121" t="s">
        <v>44</v>
      </c>
      <c r="Z121">
        <v>249986.1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3">
      <c r="A122" t="s">
        <v>72</v>
      </c>
      <c r="B122">
        <v>2025</v>
      </c>
      <c r="C122">
        <v>1</v>
      </c>
      <c r="D122" t="s">
        <v>31</v>
      </c>
      <c r="E122" t="s">
        <v>49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39</v>
      </c>
      <c r="V122" t="s">
        <v>40</v>
      </c>
      <c r="W122" t="s">
        <v>41</v>
      </c>
      <c r="X122" t="s">
        <v>43</v>
      </c>
      <c r="Y122" t="s">
        <v>44</v>
      </c>
      <c r="Z122">
        <v>249986.1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3">
      <c r="A123" t="s">
        <v>72</v>
      </c>
      <c r="B123">
        <v>2025</v>
      </c>
      <c r="C123">
        <v>1</v>
      </c>
      <c r="D123" t="s">
        <v>31</v>
      </c>
      <c r="E123" t="s">
        <v>49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39</v>
      </c>
      <c r="V123" t="s">
        <v>40</v>
      </c>
      <c r="W123" t="s">
        <v>41</v>
      </c>
      <c r="X123" t="s">
        <v>43</v>
      </c>
      <c r="Y123" t="s">
        <v>44</v>
      </c>
      <c r="Z123">
        <v>249986.1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3">
      <c r="A124" t="s">
        <v>72</v>
      </c>
      <c r="B124">
        <v>2025</v>
      </c>
      <c r="C124">
        <v>1</v>
      </c>
      <c r="D124" t="s">
        <v>31</v>
      </c>
      <c r="E124" t="s">
        <v>49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39</v>
      </c>
      <c r="V124" t="s">
        <v>40</v>
      </c>
      <c r="W124" t="s">
        <v>41</v>
      </c>
      <c r="X124" t="s">
        <v>43</v>
      </c>
      <c r="Y124" t="s">
        <v>44</v>
      </c>
      <c r="Z124">
        <v>249986.1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3">
      <c r="A125" t="s">
        <v>72</v>
      </c>
      <c r="B125">
        <v>2025</v>
      </c>
      <c r="C125">
        <v>1</v>
      </c>
      <c r="D125" t="s">
        <v>31</v>
      </c>
      <c r="E125" t="s">
        <v>49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39</v>
      </c>
      <c r="V125" t="s">
        <v>40</v>
      </c>
      <c r="W125" t="s">
        <v>41</v>
      </c>
      <c r="X125" t="s">
        <v>43</v>
      </c>
      <c r="Y125" t="s">
        <v>44</v>
      </c>
      <c r="Z125">
        <v>249986.1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3">
      <c r="A126" t="s">
        <v>72</v>
      </c>
      <c r="B126">
        <v>2025</v>
      </c>
      <c r="C126">
        <v>1</v>
      </c>
      <c r="D126" t="s">
        <v>31</v>
      </c>
      <c r="E126" t="s">
        <v>49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39</v>
      </c>
      <c r="V126" t="s">
        <v>40</v>
      </c>
      <c r="W126" t="s">
        <v>41</v>
      </c>
      <c r="X126" t="s">
        <v>43</v>
      </c>
      <c r="Y126" t="s">
        <v>44</v>
      </c>
      <c r="Z126">
        <v>249986.1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3">
      <c r="A127" t="s">
        <v>72</v>
      </c>
      <c r="B127">
        <v>2025</v>
      </c>
      <c r="C127">
        <v>1</v>
      </c>
      <c r="D127" t="s">
        <v>31</v>
      </c>
      <c r="E127" t="s">
        <v>49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39</v>
      </c>
      <c r="V127" t="s">
        <v>40</v>
      </c>
      <c r="W127" t="s">
        <v>41</v>
      </c>
      <c r="X127" t="s">
        <v>43</v>
      </c>
      <c r="Y127" t="s">
        <v>44</v>
      </c>
      <c r="Z127">
        <v>249986.1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3">
      <c r="A128" t="s">
        <v>72</v>
      </c>
      <c r="B128">
        <v>2025</v>
      </c>
      <c r="C128">
        <v>1</v>
      </c>
      <c r="D128" t="s">
        <v>31</v>
      </c>
      <c r="E128" t="s">
        <v>49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2</v>
      </c>
      <c r="S128" t="s">
        <v>38</v>
      </c>
      <c r="T128" t="s">
        <v>52</v>
      </c>
      <c r="V128" t="s">
        <v>40</v>
      </c>
      <c r="W128" t="s">
        <v>41</v>
      </c>
      <c r="X128" t="s">
        <v>43</v>
      </c>
      <c r="Y128" t="s">
        <v>44</v>
      </c>
      <c r="Z128">
        <v>4302.5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13.527861507282216</v>
      </c>
    </row>
    <row r="129" spans="1:36" x14ac:dyDescent="0.3">
      <c r="A129" t="s">
        <v>72</v>
      </c>
      <c r="B129">
        <v>2025</v>
      </c>
      <c r="C129">
        <v>1</v>
      </c>
      <c r="D129" t="s">
        <v>31</v>
      </c>
      <c r="E129" t="s">
        <v>49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2</v>
      </c>
      <c r="S129" t="s">
        <v>38</v>
      </c>
      <c r="T129" t="s">
        <v>52</v>
      </c>
      <c r="V129" t="s">
        <v>40</v>
      </c>
      <c r="W129" t="s">
        <v>41</v>
      </c>
      <c r="X129" t="s">
        <v>43</v>
      </c>
      <c r="Y129" t="s">
        <v>44</v>
      </c>
      <c r="Z129">
        <v>4302.5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19.768803453050719</v>
      </c>
    </row>
    <row r="130" spans="1:36" x14ac:dyDescent="0.3">
      <c r="A130" t="s">
        <v>72</v>
      </c>
      <c r="B130">
        <v>2025</v>
      </c>
      <c r="C130">
        <v>1</v>
      </c>
      <c r="D130" t="s">
        <v>31</v>
      </c>
      <c r="E130" t="s">
        <v>49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2</v>
      </c>
      <c r="S130" t="s">
        <v>38</v>
      </c>
      <c r="T130" t="s">
        <v>52</v>
      </c>
      <c r="V130" t="s">
        <v>40</v>
      </c>
      <c r="W130" t="s">
        <v>41</v>
      </c>
      <c r="X130" t="s">
        <v>43</v>
      </c>
      <c r="Y130" t="s">
        <v>44</v>
      </c>
      <c r="Z130">
        <v>4302.5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6.3360920862682519</v>
      </c>
    </row>
    <row r="131" spans="1:36" x14ac:dyDescent="0.3">
      <c r="A131" t="s">
        <v>72</v>
      </c>
      <c r="B131">
        <v>2025</v>
      </c>
      <c r="C131">
        <v>1</v>
      </c>
      <c r="D131" t="s">
        <v>31</v>
      </c>
      <c r="E131" t="s">
        <v>49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2</v>
      </c>
      <c r="S131" t="s">
        <v>38</v>
      </c>
      <c r="T131" t="s">
        <v>52</v>
      </c>
      <c r="V131" t="s">
        <v>40</v>
      </c>
      <c r="W131" t="s">
        <v>41</v>
      </c>
      <c r="X131" t="s">
        <v>43</v>
      </c>
      <c r="Y131" t="s">
        <v>44</v>
      </c>
      <c r="Z131">
        <v>4302.5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73.496057779720132</v>
      </c>
    </row>
    <row r="132" spans="1:36" x14ac:dyDescent="0.3">
      <c r="A132" t="s">
        <v>72</v>
      </c>
      <c r="B132">
        <v>2025</v>
      </c>
      <c r="C132">
        <v>1</v>
      </c>
      <c r="D132" t="s">
        <v>31</v>
      </c>
      <c r="E132" t="s">
        <v>49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2</v>
      </c>
      <c r="S132" t="s">
        <v>38</v>
      </c>
      <c r="T132" t="s">
        <v>52</v>
      </c>
      <c r="V132" t="s">
        <v>40</v>
      </c>
      <c r="W132" t="s">
        <v>41</v>
      </c>
      <c r="X132" t="s">
        <v>43</v>
      </c>
      <c r="Y132" t="s">
        <v>44</v>
      </c>
      <c r="Z132">
        <v>4302.5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108.8355578707956</v>
      </c>
    </row>
    <row r="133" spans="1:36" x14ac:dyDescent="0.3">
      <c r="A133" t="s">
        <v>72</v>
      </c>
      <c r="B133">
        <v>2025</v>
      </c>
      <c r="C133">
        <v>1</v>
      </c>
      <c r="D133" t="s">
        <v>31</v>
      </c>
      <c r="E133" t="s">
        <v>49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2</v>
      </c>
      <c r="S133" t="s">
        <v>38</v>
      </c>
      <c r="T133" t="s">
        <v>52</v>
      </c>
      <c r="V133" t="s">
        <v>40</v>
      </c>
      <c r="W133" t="s">
        <v>41</v>
      </c>
      <c r="X133" t="s">
        <v>43</v>
      </c>
      <c r="Y133" t="s">
        <v>44</v>
      </c>
      <c r="Z133">
        <v>4302.5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107.92432838038866</v>
      </c>
    </row>
    <row r="134" spans="1:36" x14ac:dyDescent="0.3">
      <c r="A134" t="s">
        <v>72</v>
      </c>
      <c r="B134">
        <v>2025</v>
      </c>
      <c r="C134">
        <v>1</v>
      </c>
      <c r="D134" t="s">
        <v>31</v>
      </c>
      <c r="E134" t="s">
        <v>49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2</v>
      </c>
      <c r="S134" t="s">
        <v>38</v>
      </c>
      <c r="T134" t="s">
        <v>52</v>
      </c>
      <c r="V134" t="s">
        <v>40</v>
      </c>
      <c r="W134" t="s">
        <v>41</v>
      </c>
      <c r="X134" t="s">
        <v>43</v>
      </c>
      <c r="Y134" t="s">
        <v>44</v>
      </c>
      <c r="Z134">
        <v>4302.5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155.91301254484884</v>
      </c>
    </row>
    <row r="135" spans="1:36" x14ac:dyDescent="0.3">
      <c r="A135" t="s">
        <v>72</v>
      </c>
      <c r="B135">
        <v>2025</v>
      </c>
      <c r="C135">
        <v>1</v>
      </c>
      <c r="D135" t="s">
        <v>31</v>
      </c>
      <c r="E135" t="s">
        <v>49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2</v>
      </c>
      <c r="S135" t="s">
        <v>38</v>
      </c>
      <c r="T135" t="s">
        <v>52</v>
      </c>
      <c r="V135" t="s">
        <v>40</v>
      </c>
      <c r="W135" t="s">
        <v>41</v>
      </c>
      <c r="X135" t="s">
        <v>43</v>
      </c>
      <c r="Y135" t="s">
        <v>44</v>
      </c>
      <c r="Z135">
        <v>4302.5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3">
      <c r="A136" t="s">
        <v>72</v>
      </c>
      <c r="B136">
        <v>2025</v>
      </c>
      <c r="C136">
        <v>1</v>
      </c>
      <c r="D136" t="s">
        <v>31</v>
      </c>
      <c r="E136" t="s">
        <v>49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2</v>
      </c>
      <c r="S136" t="s">
        <v>38</v>
      </c>
      <c r="T136" t="s">
        <v>52</v>
      </c>
      <c r="V136" t="s">
        <v>40</v>
      </c>
      <c r="W136" t="s">
        <v>41</v>
      </c>
      <c r="X136" t="s">
        <v>43</v>
      </c>
      <c r="Y136" t="s">
        <v>44</v>
      </c>
      <c r="Z136">
        <v>4302.5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3">
      <c r="A137" t="s">
        <v>72</v>
      </c>
      <c r="B137">
        <v>2025</v>
      </c>
      <c r="C137">
        <v>1</v>
      </c>
      <c r="D137" t="s">
        <v>31</v>
      </c>
      <c r="E137" t="s">
        <v>49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2</v>
      </c>
      <c r="S137" t="s">
        <v>38</v>
      </c>
      <c r="T137" t="s">
        <v>52</v>
      </c>
      <c r="V137" t="s">
        <v>40</v>
      </c>
      <c r="W137" t="s">
        <v>41</v>
      </c>
      <c r="X137" t="s">
        <v>43</v>
      </c>
      <c r="Y137" t="s">
        <v>44</v>
      </c>
      <c r="Z137">
        <v>4302.5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3">
      <c r="A138" t="s">
        <v>72</v>
      </c>
      <c r="B138">
        <v>2025</v>
      </c>
      <c r="C138">
        <v>1</v>
      </c>
      <c r="D138" t="s">
        <v>31</v>
      </c>
      <c r="E138" t="s">
        <v>49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2</v>
      </c>
      <c r="S138" t="s">
        <v>38</v>
      </c>
      <c r="T138" t="s">
        <v>52</v>
      </c>
      <c r="V138" t="s">
        <v>40</v>
      </c>
      <c r="W138" t="s">
        <v>41</v>
      </c>
      <c r="X138" t="s">
        <v>43</v>
      </c>
      <c r="Y138" t="s">
        <v>44</v>
      </c>
      <c r="Z138">
        <v>4302.5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3">
      <c r="A139" t="s">
        <v>72</v>
      </c>
      <c r="B139">
        <v>2025</v>
      </c>
      <c r="C139">
        <v>1</v>
      </c>
      <c r="D139" t="s">
        <v>31</v>
      </c>
      <c r="E139" t="s">
        <v>49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2</v>
      </c>
      <c r="S139" t="s">
        <v>38</v>
      </c>
      <c r="T139" t="s">
        <v>52</v>
      </c>
      <c r="V139" t="s">
        <v>40</v>
      </c>
      <c r="W139" t="s">
        <v>41</v>
      </c>
      <c r="X139" t="s">
        <v>43</v>
      </c>
      <c r="Y139" t="s">
        <v>44</v>
      </c>
      <c r="Z139">
        <v>4302.5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3">
      <c r="A140" t="s">
        <v>72</v>
      </c>
      <c r="B140">
        <v>2025</v>
      </c>
      <c r="C140">
        <v>1</v>
      </c>
      <c r="D140" t="s">
        <v>31</v>
      </c>
      <c r="E140" t="s">
        <v>49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2</v>
      </c>
      <c r="S140" t="s">
        <v>38</v>
      </c>
      <c r="T140" t="s">
        <v>52</v>
      </c>
      <c r="V140" t="s">
        <v>40</v>
      </c>
      <c r="W140" t="s">
        <v>41</v>
      </c>
      <c r="X140" t="s">
        <v>43</v>
      </c>
      <c r="Y140" t="s">
        <v>44</v>
      </c>
      <c r="Z140">
        <v>4302.5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3">
      <c r="A141" t="s">
        <v>72</v>
      </c>
      <c r="B141">
        <v>2025</v>
      </c>
      <c r="C141">
        <v>1</v>
      </c>
      <c r="D141" t="s">
        <v>31</v>
      </c>
      <c r="E141" t="s">
        <v>49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2</v>
      </c>
      <c r="S141" t="s">
        <v>38</v>
      </c>
      <c r="T141" t="s">
        <v>52</v>
      </c>
      <c r="V141" t="s">
        <v>40</v>
      </c>
      <c r="W141" t="s">
        <v>41</v>
      </c>
      <c r="X141" t="s">
        <v>43</v>
      </c>
      <c r="Y141" t="s">
        <v>44</v>
      </c>
      <c r="Z141">
        <v>4302.5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3">
      <c r="A142" t="s">
        <v>72</v>
      </c>
      <c r="B142">
        <v>2025</v>
      </c>
      <c r="C142">
        <v>1</v>
      </c>
      <c r="D142" t="s">
        <v>31</v>
      </c>
      <c r="E142" t="s">
        <v>49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39</v>
      </c>
      <c r="V142" t="s">
        <v>40</v>
      </c>
      <c r="W142" t="s">
        <v>41</v>
      </c>
      <c r="X142" t="s">
        <v>43</v>
      </c>
      <c r="Y142" t="s">
        <v>44</v>
      </c>
      <c r="Z142">
        <v>37849.599999999999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119.00619335410319</v>
      </c>
    </row>
    <row r="143" spans="1:36" x14ac:dyDescent="0.3">
      <c r="A143" t="s">
        <v>72</v>
      </c>
      <c r="B143">
        <v>2025</v>
      </c>
      <c r="C143">
        <v>1</v>
      </c>
      <c r="D143" t="s">
        <v>31</v>
      </c>
      <c r="E143" t="s">
        <v>49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39</v>
      </c>
      <c r="V143" t="s">
        <v>40</v>
      </c>
      <c r="W143" t="s">
        <v>41</v>
      </c>
      <c r="X143" t="s">
        <v>43</v>
      </c>
      <c r="Y143" t="s">
        <v>44</v>
      </c>
      <c r="Z143">
        <v>37849.599999999999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173.90849579932328</v>
      </c>
    </row>
    <row r="144" spans="1:36" x14ac:dyDescent="0.3">
      <c r="A144" t="s">
        <v>72</v>
      </c>
      <c r="B144">
        <v>2025</v>
      </c>
      <c r="C144">
        <v>1</v>
      </c>
      <c r="D144" t="s">
        <v>31</v>
      </c>
      <c r="E144" t="s">
        <v>49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39</v>
      </c>
      <c r="V144" t="s">
        <v>40</v>
      </c>
      <c r="W144" t="s">
        <v>41</v>
      </c>
      <c r="X144" t="s">
        <v>43</v>
      </c>
      <c r="Y144" t="s">
        <v>44</v>
      </c>
      <c r="Z144">
        <v>37849.599999999999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55.739349454600536</v>
      </c>
    </row>
    <row r="145" spans="1:36" x14ac:dyDescent="0.3">
      <c r="A145" t="s">
        <v>72</v>
      </c>
      <c r="B145">
        <v>2025</v>
      </c>
      <c r="C145">
        <v>1</v>
      </c>
      <c r="D145" t="s">
        <v>31</v>
      </c>
      <c r="E145" t="s">
        <v>49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39</v>
      </c>
      <c r="V145" t="s">
        <v>40</v>
      </c>
      <c r="W145" t="s">
        <v>41</v>
      </c>
      <c r="X145" t="s">
        <v>43</v>
      </c>
      <c r="Y145" t="s">
        <v>44</v>
      </c>
      <c r="Z145">
        <v>37849.599999999999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646.55348949199185</v>
      </c>
    </row>
    <row r="146" spans="1:36" x14ac:dyDescent="0.3">
      <c r="A146" t="s">
        <v>72</v>
      </c>
      <c r="B146">
        <v>2025</v>
      </c>
      <c r="C146">
        <v>1</v>
      </c>
      <c r="D146" t="s">
        <v>31</v>
      </c>
      <c r="E146" t="s">
        <v>49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39</v>
      </c>
      <c r="V146" t="s">
        <v>40</v>
      </c>
      <c r="W146" t="s">
        <v>41</v>
      </c>
      <c r="X146" t="s">
        <v>43</v>
      </c>
      <c r="Y146" t="s">
        <v>44</v>
      </c>
      <c r="Z146">
        <v>37849.599999999999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957.43924025251943</v>
      </c>
    </row>
    <row r="147" spans="1:36" x14ac:dyDescent="0.3">
      <c r="A147" t="s">
        <v>72</v>
      </c>
      <c r="B147">
        <v>2025</v>
      </c>
      <c r="C147">
        <v>1</v>
      </c>
      <c r="D147" t="s">
        <v>31</v>
      </c>
      <c r="E147" t="s">
        <v>49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39</v>
      </c>
      <c r="V147" t="s">
        <v>40</v>
      </c>
      <c r="W147" t="s">
        <v>41</v>
      </c>
      <c r="X147" t="s">
        <v>43</v>
      </c>
      <c r="Y147" t="s">
        <v>44</v>
      </c>
      <c r="Z147">
        <v>37849.599999999999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949.42304694162897</v>
      </c>
    </row>
    <row r="148" spans="1:36" x14ac:dyDescent="0.3">
      <c r="A148" t="s">
        <v>72</v>
      </c>
      <c r="B148">
        <v>2025</v>
      </c>
      <c r="C148">
        <v>1</v>
      </c>
      <c r="D148" t="s">
        <v>31</v>
      </c>
      <c r="E148" t="s">
        <v>49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39</v>
      </c>
      <c r="V148" t="s">
        <v>40</v>
      </c>
      <c r="W148" t="s">
        <v>41</v>
      </c>
      <c r="X148" t="s">
        <v>43</v>
      </c>
      <c r="Y148" t="s">
        <v>44</v>
      </c>
      <c r="Z148">
        <v>37849.599999999999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1371.5851620261499</v>
      </c>
    </row>
    <row r="149" spans="1:36" x14ac:dyDescent="0.3">
      <c r="A149" t="s">
        <v>72</v>
      </c>
      <c r="B149">
        <v>2025</v>
      </c>
      <c r="C149">
        <v>1</v>
      </c>
      <c r="D149" t="s">
        <v>31</v>
      </c>
      <c r="E149" t="s">
        <v>49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39</v>
      </c>
      <c r="V149" t="s">
        <v>40</v>
      </c>
      <c r="W149" t="s">
        <v>41</v>
      </c>
      <c r="X149" t="s">
        <v>43</v>
      </c>
      <c r="Y149" t="s">
        <v>44</v>
      </c>
      <c r="Z149">
        <v>37849.599999999999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3">
      <c r="A150" t="s">
        <v>72</v>
      </c>
      <c r="B150">
        <v>2025</v>
      </c>
      <c r="C150">
        <v>1</v>
      </c>
      <c r="D150" t="s">
        <v>31</v>
      </c>
      <c r="E150" t="s">
        <v>49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39</v>
      </c>
      <c r="V150" t="s">
        <v>40</v>
      </c>
      <c r="W150" t="s">
        <v>41</v>
      </c>
      <c r="X150" t="s">
        <v>43</v>
      </c>
      <c r="Y150" t="s">
        <v>44</v>
      </c>
      <c r="Z150">
        <v>37849.599999999999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3">
      <c r="A151" t="s">
        <v>72</v>
      </c>
      <c r="B151">
        <v>2025</v>
      </c>
      <c r="C151">
        <v>1</v>
      </c>
      <c r="D151" t="s">
        <v>31</v>
      </c>
      <c r="E151" t="s">
        <v>49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39</v>
      </c>
      <c r="V151" t="s">
        <v>40</v>
      </c>
      <c r="W151" t="s">
        <v>41</v>
      </c>
      <c r="X151" t="s">
        <v>43</v>
      </c>
      <c r="Y151" t="s">
        <v>44</v>
      </c>
      <c r="Z151">
        <v>37849.599999999999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3">
      <c r="A152" t="s">
        <v>72</v>
      </c>
      <c r="B152">
        <v>2025</v>
      </c>
      <c r="C152">
        <v>1</v>
      </c>
      <c r="D152" t="s">
        <v>31</v>
      </c>
      <c r="E152" t="s">
        <v>49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39</v>
      </c>
      <c r="V152" t="s">
        <v>40</v>
      </c>
      <c r="W152" t="s">
        <v>41</v>
      </c>
      <c r="X152" t="s">
        <v>43</v>
      </c>
      <c r="Y152" t="s">
        <v>44</v>
      </c>
      <c r="Z152">
        <v>37849.599999999999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3">
      <c r="A153" t="s">
        <v>72</v>
      </c>
      <c r="B153">
        <v>2025</v>
      </c>
      <c r="C153">
        <v>1</v>
      </c>
      <c r="D153" t="s">
        <v>31</v>
      </c>
      <c r="E153" t="s">
        <v>49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39</v>
      </c>
      <c r="V153" t="s">
        <v>40</v>
      </c>
      <c r="W153" t="s">
        <v>41</v>
      </c>
      <c r="X153" t="s">
        <v>43</v>
      </c>
      <c r="Y153" t="s">
        <v>44</v>
      </c>
      <c r="Z153">
        <v>37849.599999999999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3">
      <c r="A154" t="s">
        <v>72</v>
      </c>
      <c r="B154">
        <v>2025</v>
      </c>
      <c r="C154">
        <v>1</v>
      </c>
      <c r="D154" t="s">
        <v>31</v>
      </c>
      <c r="E154" t="s">
        <v>49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39</v>
      </c>
      <c r="V154" t="s">
        <v>40</v>
      </c>
      <c r="W154" t="s">
        <v>41</v>
      </c>
      <c r="X154" t="s">
        <v>43</v>
      </c>
      <c r="Y154" t="s">
        <v>44</v>
      </c>
      <c r="Z154">
        <v>37849.599999999999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3">
      <c r="A155" t="s">
        <v>72</v>
      </c>
      <c r="B155">
        <v>2025</v>
      </c>
      <c r="C155">
        <v>1</v>
      </c>
      <c r="D155" t="s">
        <v>31</v>
      </c>
      <c r="E155" t="s">
        <v>49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39</v>
      </c>
      <c r="V155" t="s">
        <v>40</v>
      </c>
      <c r="W155" t="s">
        <v>41</v>
      </c>
      <c r="X155" t="s">
        <v>43</v>
      </c>
      <c r="Y155" t="s">
        <v>44</v>
      </c>
      <c r="Z155">
        <v>37849.599999999999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3">
      <c r="A156" t="s">
        <v>72</v>
      </c>
      <c r="B156">
        <v>2025</v>
      </c>
      <c r="C156">
        <v>1</v>
      </c>
      <c r="D156" t="s">
        <v>31</v>
      </c>
      <c r="E156" t="s">
        <v>49</v>
      </c>
      <c r="F156" t="s">
        <v>79</v>
      </c>
      <c r="H156" t="s">
        <v>51</v>
      </c>
      <c r="I156" t="s">
        <v>84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1</v>
      </c>
      <c r="S156" t="s">
        <v>38</v>
      </c>
      <c r="T156" t="s">
        <v>52</v>
      </c>
      <c r="V156" t="s">
        <v>40</v>
      </c>
      <c r="W156" t="s">
        <v>41</v>
      </c>
      <c r="X156" t="s">
        <v>43</v>
      </c>
      <c r="Y156" t="s">
        <v>44</v>
      </c>
      <c r="Z156">
        <v>5236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0.81120006249362275</v>
      </c>
    </row>
    <row r="157" spans="1:36" x14ac:dyDescent="0.3">
      <c r="A157" t="s">
        <v>72</v>
      </c>
      <c r="B157">
        <v>2025</v>
      </c>
      <c r="C157">
        <v>1</v>
      </c>
      <c r="D157" t="s">
        <v>31</v>
      </c>
      <c r="E157" t="s">
        <v>49</v>
      </c>
      <c r="F157" t="s">
        <v>79</v>
      </c>
      <c r="H157" t="s">
        <v>51</v>
      </c>
      <c r="I157" t="s">
        <v>84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1</v>
      </c>
      <c r="S157" t="s">
        <v>38</v>
      </c>
      <c r="T157" t="s">
        <v>52</v>
      </c>
      <c r="V157" t="s">
        <v>40</v>
      </c>
      <c r="W157" t="s">
        <v>41</v>
      </c>
      <c r="X157" t="s">
        <v>43</v>
      </c>
      <c r="Y157" t="s">
        <v>44</v>
      </c>
      <c r="Z157">
        <v>5236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1.1854389984630065</v>
      </c>
    </row>
    <row r="158" spans="1:36" x14ac:dyDescent="0.3">
      <c r="A158" t="s">
        <v>72</v>
      </c>
      <c r="B158">
        <v>2025</v>
      </c>
      <c r="C158">
        <v>1</v>
      </c>
      <c r="D158" t="s">
        <v>31</v>
      </c>
      <c r="E158" t="s">
        <v>49</v>
      </c>
      <c r="F158" t="s">
        <v>79</v>
      </c>
      <c r="H158" t="s">
        <v>51</v>
      </c>
      <c r="I158" t="s">
        <v>84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1</v>
      </c>
      <c r="S158" t="s">
        <v>38</v>
      </c>
      <c r="T158" t="s">
        <v>52</v>
      </c>
      <c r="V158" t="s">
        <v>40</v>
      </c>
      <c r="W158" t="s">
        <v>41</v>
      </c>
      <c r="X158" t="s">
        <v>43</v>
      </c>
      <c r="Y158" t="s">
        <v>44</v>
      </c>
      <c r="Z158">
        <v>5236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0.37994462713706195</v>
      </c>
    </row>
    <row r="159" spans="1:36" x14ac:dyDescent="0.3">
      <c r="A159" t="s">
        <v>72</v>
      </c>
      <c r="B159">
        <v>2025</v>
      </c>
      <c r="C159">
        <v>1</v>
      </c>
      <c r="D159" t="s">
        <v>31</v>
      </c>
      <c r="E159" t="s">
        <v>49</v>
      </c>
      <c r="F159" t="s">
        <v>79</v>
      </c>
      <c r="H159" t="s">
        <v>51</v>
      </c>
      <c r="I159" t="s">
        <v>84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1</v>
      </c>
      <c r="S159" t="s">
        <v>38</v>
      </c>
      <c r="T159" t="s">
        <v>52</v>
      </c>
      <c r="V159" t="s">
        <v>40</v>
      </c>
      <c r="W159" t="s">
        <v>41</v>
      </c>
      <c r="X159" t="s">
        <v>43</v>
      </c>
      <c r="Y159" t="s">
        <v>44</v>
      </c>
      <c r="Z159">
        <v>5236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4.4072011405387084</v>
      </c>
    </row>
    <row r="160" spans="1:36" x14ac:dyDescent="0.3">
      <c r="A160" t="s">
        <v>72</v>
      </c>
      <c r="B160">
        <v>2025</v>
      </c>
      <c r="C160">
        <v>1</v>
      </c>
      <c r="D160" t="s">
        <v>31</v>
      </c>
      <c r="E160" t="s">
        <v>49</v>
      </c>
      <c r="F160" t="s">
        <v>79</v>
      </c>
      <c r="H160" t="s">
        <v>51</v>
      </c>
      <c r="I160" t="s">
        <v>84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1</v>
      </c>
      <c r="S160" t="s">
        <v>38</v>
      </c>
      <c r="T160" t="s">
        <v>52</v>
      </c>
      <c r="V160" t="s">
        <v>40</v>
      </c>
      <c r="W160" t="s">
        <v>41</v>
      </c>
      <c r="X160" t="s">
        <v>43</v>
      </c>
      <c r="Y160" t="s">
        <v>44</v>
      </c>
      <c r="Z160">
        <v>5236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6.5263390890564237</v>
      </c>
    </row>
    <row r="161" spans="1:36" x14ac:dyDescent="0.3">
      <c r="A161" t="s">
        <v>72</v>
      </c>
      <c r="B161">
        <v>2025</v>
      </c>
      <c r="C161">
        <v>1</v>
      </c>
      <c r="D161" t="s">
        <v>31</v>
      </c>
      <c r="E161" t="s">
        <v>49</v>
      </c>
      <c r="F161" t="s">
        <v>79</v>
      </c>
      <c r="H161" t="s">
        <v>51</v>
      </c>
      <c r="I161" t="s">
        <v>84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1</v>
      </c>
      <c r="S161" t="s">
        <v>38</v>
      </c>
      <c r="T161" t="s">
        <v>52</v>
      </c>
      <c r="V161" t="s">
        <v>40</v>
      </c>
      <c r="W161" t="s">
        <v>41</v>
      </c>
      <c r="X161" t="s">
        <v>43</v>
      </c>
      <c r="Y161" t="s">
        <v>44</v>
      </c>
      <c r="Z161">
        <v>5236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6.4716970882371356</v>
      </c>
    </row>
    <row r="162" spans="1:36" x14ac:dyDescent="0.3">
      <c r="A162" t="s">
        <v>72</v>
      </c>
      <c r="B162">
        <v>2025</v>
      </c>
      <c r="C162">
        <v>1</v>
      </c>
      <c r="D162" t="s">
        <v>31</v>
      </c>
      <c r="E162" t="s">
        <v>49</v>
      </c>
      <c r="F162" t="s">
        <v>79</v>
      </c>
      <c r="H162" t="s">
        <v>51</v>
      </c>
      <c r="I162" t="s">
        <v>84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1</v>
      </c>
      <c r="S162" t="s">
        <v>38</v>
      </c>
      <c r="T162" t="s">
        <v>52</v>
      </c>
      <c r="V162" t="s">
        <v>40</v>
      </c>
      <c r="W162" t="s">
        <v>41</v>
      </c>
      <c r="X162" t="s">
        <v>43</v>
      </c>
      <c r="Y162" t="s">
        <v>44</v>
      </c>
      <c r="Z162">
        <v>5236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9.3493450869427086</v>
      </c>
    </row>
    <row r="163" spans="1:36" x14ac:dyDescent="0.3">
      <c r="A163" t="s">
        <v>72</v>
      </c>
      <c r="B163">
        <v>2025</v>
      </c>
      <c r="C163">
        <v>1</v>
      </c>
      <c r="D163" t="s">
        <v>31</v>
      </c>
      <c r="E163" t="s">
        <v>49</v>
      </c>
      <c r="F163" t="s">
        <v>79</v>
      </c>
      <c r="H163" t="s">
        <v>51</v>
      </c>
      <c r="I163" t="s">
        <v>84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1</v>
      </c>
      <c r="S163" t="s">
        <v>38</v>
      </c>
      <c r="T163" t="s">
        <v>52</v>
      </c>
      <c r="V163" t="s">
        <v>40</v>
      </c>
      <c r="W163" t="s">
        <v>41</v>
      </c>
      <c r="X163" t="s">
        <v>43</v>
      </c>
      <c r="Y163" t="s">
        <v>44</v>
      </c>
      <c r="Z163">
        <v>5236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3">
      <c r="A164" t="s">
        <v>72</v>
      </c>
      <c r="B164">
        <v>2025</v>
      </c>
      <c r="C164">
        <v>1</v>
      </c>
      <c r="D164" t="s">
        <v>31</v>
      </c>
      <c r="E164" t="s">
        <v>49</v>
      </c>
      <c r="F164" t="s">
        <v>79</v>
      </c>
      <c r="H164" t="s">
        <v>51</v>
      </c>
      <c r="I164" t="s">
        <v>84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1</v>
      </c>
      <c r="S164" t="s">
        <v>38</v>
      </c>
      <c r="T164" t="s">
        <v>52</v>
      </c>
      <c r="V164" t="s">
        <v>40</v>
      </c>
      <c r="W164" t="s">
        <v>41</v>
      </c>
      <c r="X164" t="s">
        <v>43</v>
      </c>
      <c r="Y164" t="s">
        <v>44</v>
      </c>
      <c r="Z164">
        <v>5236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3">
      <c r="A165" t="s">
        <v>72</v>
      </c>
      <c r="B165">
        <v>2025</v>
      </c>
      <c r="C165">
        <v>1</v>
      </c>
      <c r="D165" t="s">
        <v>31</v>
      </c>
      <c r="E165" t="s">
        <v>49</v>
      </c>
      <c r="F165" t="s">
        <v>79</v>
      </c>
      <c r="H165" t="s">
        <v>51</v>
      </c>
      <c r="I165" t="s">
        <v>84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1</v>
      </c>
      <c r="S165" t="s">
        <v>38</v>
      </c>
      <c r="T165" t="s">
        <v>52</v>
      </c>
      <c r="V165" t="s">
        <v>40</v>
      </c>
      <c r="W165" t="s">
        <v>41</v>
      </c>
      <c r="X165" t="s">
        <v>43</v>
      </c>
      <c r="Y165" t="s">
        <v>44</v>
      </c>
      <c r="Z165">
        <v>5236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3">
      <c r="A166" t="s">
        <v>72</v>
      </c>
      <c r="B166">
        <v>2025</v>
      </c>
      <c r="C166">
        <v>1</v>
      </c>
      <c r="D166" t="s">
        <v>31</v>
      </c>
      <c r="E166" t="s">
        <v>49</v>
      </c>
      <c r="F166" t="s">
        <v>79</v>
      </c>
      <c r="H166" t="s">
        <v>51</v>
      </c>
      <c r="I166" t="s">
        <v>84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1</v>
      </c>
      <c r="S166" t="s">
        <v>38</v>
      </c>
      <c r="T166" t="s">
        <v>52</v>
      </c>
      <c r="V166" t="s">
        <v>40</v>
      </c>
      <c r="W166" t="s">
        <v>41</v>
      </c>
      <c r="X166" t="s">
        <v>43</v>
      </c>
      <c r="Y166" t="s">
        <v>44</v>
      </c>
      <c r="Z166">
        <v>5236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3">
      <c r="A167" t="s">
        <v>72</v>
      </c>
      <c r="B167">
        <v>2025</v>
      </c>
      <c r="C167">
        <v>1</v>
      </c>
      <c r="D167" t="s">
        <v>31</v>
      </c>
      <c r="E167" t="s">
        <v>49</v>
      </c>
      <c r="F167" t="s">
        <v>79</v>
      </c>
      <c r="H167" t="s">
        <v>51</v>
      </c>
      <c r="I167" t="s">
        <v>84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1</v>
      </c>
      <c r="S167" t="s">
        <v>38</v>
      </c>
      <c r="T167" t="s">
        <v>52</v>
      </c>
      <c r="V167" t="s">
        <v>40</v>
      </c>
      <c r="W167" t="s">
        <v>41</v>
      </c>
      <c r="X167" t="s">
        <v>43</v>
      </c>
      <c r="Y167" t="s">
        <v>44</v>
      </c>
      <c r="Z167">
        <v>5236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3">
      <c r="A168" t="s">
        <v>72</v>
      </c>
      <c r="B168">
        <v>2025</v>
      </c>
      <c r="C168">
        <v>1</v>
      </c>
      <c r="D168" t="s">
        <v>31</v>
      </c>
      <c r="E168" t="s">
        <v>49</v>
      </c>
      <c r="F168" t="s">
        <v>79</v>
      </c>
      <c r="H168" t="s">
        <v>51</v>
      </c>
      <c r="I168" t="s">
        <v>84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1</v>
      </c>
      <c r="S168" t="s">
        <v>38</v>
      </c>
      <c r="T168" t="s">
        <v>52</v>
      </c>
      <c r="V168" t="s">
        <v>40</v>
      </c>
      <c r="W168" t="s">
        <v>41</v>
      </c>
      <c r="X168" t="s">
        <v>43</v>
      </c>
      <c r="Y168" t="s">
        <v>44</v>
      </c>
      <c r="Z168">
        <v>5236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3">
      <c r="A169" t="s">
        <v>72</v>
      </c>
      <c r="B169">
        <v>2025</v>
      </c>
      <c r="C169">
        <v>1</v>
      </c>
      <c r="D169" t="s">
        <v>31</v>
      </c>
      <c r="E169" t="s">
        <v>49</v>
      </c>
      <c r="F169" t="s">
        <v>79</v>
      </c>
      <c r="H169" t="s">
        <v>51</v>
      </c>
      <c r="I169" t="s">
        <v>84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1</v>
      </c>
      <c r="S169" t="s">
        <v>38</v>
      </c>
      <c r="T169" t="s">
        <v>52</v>
      </c>
      <c r="V169" t="s">
        <v>40</v>
      </c>
      <c r="W169" t="s">
        <v>41</v>
      </c>
      <c r="X169" t="s">
        <v>43</v>
      </c>
      <c r="Y169" t="s">
        <v>44</v>
      </c>
      <c r="Z169">
        <v>5236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3">
      <c r="A170" t="s">
        <v>72</v>
      </c>
      <c r="B170">
        <v>2025</v>
      </c>
      <c r="C170">
        <v>1</v>
      </c>
      <c r="D170" t="s">
        <v>31</v>
      </c>
      <c r="E170" t="s">
        <v>49</v>
      </c>
      <c r="F170" t="s">
        <v>50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36</v>
      </c>
      <c r="Q170" t="s">
        <v>47</v>
      </c>
      <c r="R170">
        <v>2024</v>
      </c>
      <c r="S170" t="s">
        <v>38</v>
      </c>
      <c r="T170" t="s">
        <v>39</v>
      </c>
      <c r="V170" t="s">
        <v>40</v>
      </c>
      <c r="W170" t="s">
        <v>41</v>
      </c>
      <c r="X170" t="s">
        <v>43</v>
      </c>
      <c r="Y170" t="s">
        <v>44</v>
      </c>
      <c r="Z170">
        <v>12569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39.519277463109866</v>
      </c>
    </row>
    <row r="171" spans="1:36" x14ac:dyDescent="0.3">
      <c r="A171" t="s">
        <v>72</v>
      </c>
      <c r="B171">
        <v>2025</v>
      </c>
      <c r="C171">
        <v>1</v>
      </c>
      <c r="D171" t="s">
        <v>31</v>
      </c>
      <c r="E171" t="s">
        <v>49</v>
      </c>
      <c r="F171" t="s">
        <v>50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36</v>
      </c>
      <c r="Q171" t="s">
        <v>47</v>
      </c>
      <c r="R171">
        <v>2024</v>
      </c>
      <c r="S171" t="s">
        <v>38</v>
      </c>
      <c r="T171" t="s">
        <v>39</v>
      </c>
      <c r="V171" t="s">
        <v>40</v>
      </c>
      <c r="W171" t="s">
        <v>41</v>
      </c>
      <c r="X171" t="s">
        <v>43</v>
      </c>
      <c r="Y171" t="s">
        <v>44</v>
      </c>
      <c r="Z171">
        <v>12569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57.751096014269493</v>
      </c>
    </row>
    <row r="172" spans="1:36" x14ac:dyDescent="0.3">
      <c r="A172" t="s">
        <v>72</v>
      </c>
      <c r="B172">
        <v>2025</v>
      </c>
      <c r="C172">
        <v>1</v>
      </c>
      <c r="D172" t="s">
        <v>31</v>
      </c>
      <c r="E172" t="s">
        <v>49</v>
      </c>
      <c r="F172" t="s">
        <v>50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36</v>
      </c>
      <c r="Q172" t="s">
        <v>47</v>
      </c>
      <c r="R172">
        <v>2024</v>
      </c>
      <c r="S172" t="s">
        <v>38</v>
      </c>
      <c r="T172" t="s">
        <v>39</v>
      </c>
      <c r="V172" t="s">
        <v>40</v>
      </c>
      <c r="W172" t="s">
        <v>41</v>
      </c>
      <c r="X172" t="s">
        <v>43</v>
      </c>
      <c r="Y172" t="s">
        <v>44</v>
      </c>
      <c r="Z172">
        <v>12569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18.509783017386557</v>
      </c>
    </row>
    <row r="173" spans="1:36" x14ac:dyDescent="0.3">
      <c r="A173" t="s">
        <v>72</v>
      </c>
      <c r="B173">
        <v>2025</v>
      </c>
      <c r="C173">
        <v>1</v>
      </c>
      <c r="D173" t="s">
        <v>31</v>
      </c>
      <c r="E173" t="s">
        <v>49</v>
      </c>
      <c r="F173" t="s">
        <v>50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36</v>
      </c>
      <c r="Q173" t="s">
        <v>47</v>
      </c>
      <c r="R173">
        <v>2024</v>
      </c>
      <c r="S173" t="s">
        <v>38</v>
      </c>
      <c r="T173" t="s">
        <v>39</v>
      </c>
      <c r="V173" t="s">
        <v>40</v>
      </c>
      <c r="W173" t="s">
        <v>41</v>
      </c>
      <c r="X173" t="s">
        <v>43</v>
      </c>
      <c r="Y173" t="s">
        <v>44</v>
      </c>
      <c r="Z173">
        <v>12569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214.70585711407375</v>
      </c>
    </row>
    <row r="174" spans="1:36" x14ac:dyDescent="0.3">
      <c r="A174" t="s">
        <v>72</v>
      </c>
      <c r="B174">
        <v>2025</v>
      </c>
      <c r="C174">
        <v>1</v>
      </c>
      <c r="D174" t="s">
        <v>31</v>
      </c>
      <c r="E174" t="s">
        <v>49</v>
      </c>
      <c r="F174" t="s">
        <v>50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36</v>
      </c>
      <c r="Q174" t="s">
        <v>47</v>
      </c>
      <c r="R174">
        <v>2024</v>
      </c>
      <c r="S174" t="s">
        <v>38</v>
      </c>
      <c r="T174" t="s">
        <v>39</v>
      </c>
      <c r="V174" t="s">
        <v>40</v>
      </c>
      <c r="W174" t="s">
        <v>41</v>
      </c>
      <c r="X174" t="s">
        <v>43</v>
      </c>
      <c r="Y174" t="s">
        <v>44</v>
      </c>
      <c r="Z174">
        <v>12569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317.94401554399303</v>
      </c>
    </row>
    <row r="175" spans="1:36" x14ac:dyDescent="0.3">
      <c r="A175" t="s">
        <v>72</v>
      </c>
      <c r="B175">
        <v>2025</v>
      </c>
      <c r="C175">
        <v>1</v>
      </c>
      <c r="D175" t="s">
        <v>31</v>
      </c>
      <c r="E175" t="s">
        <v>49</v>
      </c>
      <c r="F175" t="s">
        <v>50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36</v>
      </c>
      <c r="Q175" t="s">
        <v>47</v>
      </c>
      <c r="R175">
        <v>2024</v>
      </c>
      <c r="S175" t="s">
        <v>38</v>
      </c>
      <c r="T175" t="s">
        <v>39</v>
      </c>
      <c r="V175" t="s">
        <v>40</v>
      </c>
      <c r="W175" t="s">
        <v>41</v>
      </c>
      <c r="X175" t="s">
        <v>43</v>
      </c>
      <c r="Y175" t="s">
        <v>44</v>
      </c>
      <c r="Z175">
        <v>12569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315.28201822500995</v>
      </c>
    </row>
    <row r="176" spans="1:36" x14ac:dyDescent="0.3">
      <c r="A176" t="s">
        <v>72</v>
      </c>
      <c r="B176">
        <v>2025</v>
      </c>
      <c r="C176">
        <v>1</v>
      </c>
      <c r="D176" t="s">
        <v>31</v>
      </c>
      <c r="E176" t="s">
        <v>49</v>
      </c>
      <c r="F176" t="s">
        <v>50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36</v>
      </c>
      <c r="Q176" t="s">
        <v>47</v>
      </c>
      <c r="R176">
        <v>2024</v>
      </c>
      <c r="S176" t="s">
        <v>38</v>
      </c>
      <c r="T176" t="s">
        <v>39</v>
      </c>
      <c r="V176" t="s">
        <v>40</v>
      </c>
      <c r="W176" t="s">
        <v>41</v>
      </c>
      <c r="X176" t="s">
        <v>43</v>
      </c>
      <c r="Y176" t="s">
        <v>44</v>
      </c>
      <c r="Z176">
        <v>12569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455.4725519293911</v>
      </c>
    </row>
    <row r="177" spans="1:36" x14ac:dyDescent="0.3">
      <c r="A177" t="s">
        <v>72</v>
      </c>
      <c r="B177">
        <v>2025</v>
      </c>
      <c r="C177">
        <v>1</v>
      </c>
      <c r="D177" t="s">
        <v>31</v>
      </c>
      <c r="E177" t="s">
        <v>49</v>
      </c>
      <c r="F177" t="s">
        <v>50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36</v>
      </c>
      <c r="Q177" t="s">
        <v>47</v>
      </c>
      <c r="R177">
        <v>2024</v>
      </c>
      <c r="S177" t="s">
        <v>38</v>
      </c>
      <c r="T177" t="s">
        <v>39</v>
      </c>
      <c r="V177" t="s">
        <v>40</v>
      </c>
      <c r="W177" t="s">
        <v>41</v>
      </c>
      <c r="X177" t="s">
        <v>43</v>
      </c>
      <c r="Y177" t="s">
        <v>44</v>
      </c>
      <c r="Z177">
        <v>12569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3">
      <c r="A178" t="s">
        <v>72</v>
      </c>
      <c r="B178">
        <v>2025</v>
      </c>
      <c r="C178">
        <v>1</v>
      </c>
      <c r="D178" t="s">
        <v>31</v>
      </c>
      <c r="E178" t="s">
        <v>49</v>
      </c>
      <c r="F178" t="s">
        <v>50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36</v>
      </c>
      <c r="Q178" t="s">
        <v>47</v>
      </c>
      <c r="R178">
        <v>2024</v>
      </c>
      <c r="S178" t="s">
        <v>38</v>
      </c>
      <c r="T178" t="s">
        <v>39</v>
      </c>
      <c r="V178" t="s">
        <v>40</v>
      </c>
      <c r="W178" t="s">
        <v>41</v>
      </c>
      <c r="X178" t="s">
        <v>43</v>
      </c>
      <c r="Y178" t="s">
        <v>44</v>
      </c>
      <c r="Z178">
        <v>12569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3">
      <c r="A179" t="s">
        <v>72</v>
      </c>
      <c r="B179">
        <v>2025</v>
      </c>
      <c r="C179">
        <v>1</v>
      </c>
      <c r="D179" t="s">
        <v>31</v>
      </c>
      <c r="E179" t="s">
        <v>49</v>
      </c>
      <c r="F179" t="s">
        <v>50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36</v>
      </c>
      <c r="Q179" t="s">
        <v>47</v>
      </c>
      <c r="R179">
        <v>2024</v>
      </c>
      <c r="S179" t="s">
        <v>38</v>
      </c>
      <c r="T179" t="s">
        <v>39</v>
      </c>
      <c r="V179" t="s">
        <v>40</v>
      </c>
      <c r="W179" t="s">
        <v>41</v>
      </c>
      <c r="X179" t="s">
        <v>43</v>
      </c>
      <c r="Y179" t="s">
        <v>44</v>
      </c>
      <c r="Z179">
        <v>12569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3">
      <c r="A180" t="s">
        <v>72</v>
      </c>
      <c r="B180">
        <v>2025</v>
      </c>
      <c r="C180">
        <v>1</v>
      </c>
      <c r="D180" t="s">
        <v>31</v>
      </c>
      <c r="E180" t="s">
        <v>49</v>
      </c>
      <c r="F180" t="s">
        <v>50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36</v>
      </c>
      <c r="Q180" t="s">
        <v>47</v>
      </c>
      <c r="R180">
        <v>2024</v>
      </c>
      <c r="S180" t="s">
        <v>38</v>
      </c>
      <c r="T180" t="s">
        <v>39</v>
      </c>
      <c r="V180" t="s">
        <v>40</v>
      </c>
      <c r="W180" t="s">
        <v>41</v>
      </c>
      <c r="X180" t="s">
        <v>43</v>
      </c>
      <c r="Y180" t="s">
        <v>44</v>
      </c>
      <c r="Z180">
        <v>12569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3">
      <c r="A181" t="s">
        <v>72</v>
      </c>
      <c r="B181">
        <v>2025</v>
      </c>
      <c r="C181">
        <v>1</v>
      </c>
      <c r="D181" t="s">
        <v>31</v>
      </c>
      <c r="E181" t="s">
        <v>49</v>
      </c>
      <c r="F181" t="s">
        <v>50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36</v>
      </c>
      <c r="Q181" t="s">
        <v>47</v>
      </c>
      <c r="R181">
        <v>2024</v>
      </c>
      <c r="S181" t="s">
        <v>38</v>
      </c>
      <c r="T181" t="s">
        <v>39</v>
      </c>
      <c r="V181" t="s">
        <v>40</v>
      </c>
      <c r="W181" t="s">
        <v>41</v>
      </c>
      <c r="X181" t="s">
        <v>43</v>
      </c>
      <c r="Y181" t="s">
        <v>44</v>
      </c>
      <c r="Z181">
        <v>12569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3">
      <c r="A182" t="s">
        <v>72</v>
      </c>
      <c r="B182">
        <v>2025</v>
      </c>
      <c r="C182">
        <v>1</v>
      </c>
      <c r="D182" t="s">
        <v>31</v>
      </c>
      <c r="E182" t="s">
        <v>49</v>
      </c>
      <c r="F182" t="s">
        <v>50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36</v>
      </c>
      <c r="Q182" t="s">
        <v>47</v>
      </c>
      <c r="R182">
        <v>2024</v>
      </c>
      <c r="S182" t="s">
        <v>38</v>
      </c>
      <c r="T182" t="s">
        <v>39</v>
      </c>
      <c r="V182" t="s">
        <v>40</v>
      </c>
      <c r="W182" t="s">
        <v>41</v>
      </c>
      <c r="X182" t="s">
        <v>43</v>
      </c>
      <c r="Y182" t="s">
        <v>44</v>
      </c>
      <c r="Z182">
        <v>12569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3">
      <c r="A183" t="s">
        <v>72</v>
      </c>
      <c r="B183">
        <v>2025</v>
      </c>
      <c r="C183">
        <v>1</v>
      </c>
      <c r="D183" t="s">
        <v>31</v>
      </c>
      <c r="E183" t="s">
        <v>49</v>
      </c>
      <c r="F183" t="s">
        <v>50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36</v>
      </c>
      <c r="Q183" t="s">
        <v>47</v>
      </c>
      <c r="R183">
        <v>2024</v>
      </c>
      <c r="S183" t="s">
        <v>38</v>
      </c>
      <c r="T183" t="s">
        <v>39</v>
      </c>
      <c r="V183" t="s">
        <v>40</v>
      </c>
      <c r="W183" t="s">
        <v>41</v>
      </c>
      <c r="X183" t="s">
        <v>43</v>
      </c>
      <c r="Y183" t="s">
        <v>44</v>
      </c>
      <c r="Z183">
        <v>12569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3">
      <c r="A184" t="s">
        <v>72</v>
      </c>
      <c r="B184">
        <v>2025</v>
      </c>
      <c r="C184">
        <v>1</v>
      </c>
      <c r="D184" t="s">
        <v>31</v>
      </c>
      <c r="E184" t="s">
        <v>49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37</v>
      </c>
      <c r="R184">
        <v>1</v>
      </c>
      <c r="S184" t="s">
        <v>38</v>
      </c>
      <c r="T184" t="s">
        <v>52</v>
      </c>
      <c r="V184" t="s">
        <v>40</v>
      </c>
      <c r="W184" t="s">
        <v>41</v>
      </c>
      <c r="X184" t="s">
        <v>43</v>
      </c>
      <c r="Y184" t="s">
        <v>44</v>
      </c>
      <c r="Z184">
        <v>258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16.462959407816314</v>
      </c>
    </row>
    <row r="185" spans="1:36" x14ac:dyDescent="0.3">
      <c r="A185" t="s">
        <v>72</v>
      </c>
      <c r="B185">
        <v>2025</v>
      </c>
      <c r="C185">
        <v>1</v>
      </c>
      <c r="D185" t="s">
        <v>31</v>
      </c>
      <c r="E185" t="s">
        <v>49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37</v>
      </c>
      <c r="R185">
        <v>1</v>
      </c>
      <c r="S185" t="s">
        <v>38</v>
      </c>
      <c r="T185" t="s">
        <v>52</v>
      </c>
      <c r="V185" t="s">
        <v>40</v>
      </c>
      <c r="W185" t="s">
        <v>41</v>
      </c>
      <c r="X185" t="s">
        <v>43</v>
      </c>
      <c r="Y185" t="s">
        <v>44</v>
      </c>
      <c r="Z185">
        <v>258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24.05797905407869</v>
      </c>
    </row>
    <row r="186" spans="1:36" x14ac:dyDescent="0.3">
      <c r="A186" t="s">
        <v>72</v>
      </c>
      <c r="B186">
        <v>2025</v>
      </c>
      <c r="C186">
        <v>1</v>
      </c>
      <c r="D186" t="s">
        <v>31</v>
      </c>
      <c r="E186" t="s">
        <v>49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37</v>
      </c>
      <c r="R186">
        <v>1</v>
      </c>
      <c r="S186" t="s">
        <v>38</v>
      </c>
      <c r="T186" t="s">
        <v>52</v>
      </c>
      <c r="V186" t="s">
        <v>40</v>
      </c>
      <c r="W186" t="s">
        <v>41</v>
      </c>
      <c r="X186" t="s">
        <v>43</v>
      </c>
      <c r="Y186" t="s">
        <v>44</v>
      </c>
      <c r="Z186">
        <v>258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7.7108142158513813</v>
      </c>
    </row>
    <row r="187" spans="1:36" x14ac:dyDescent="0.3">
      <c r="A187" t="s">
        <v>72</v>
      </c>
      <c r="B187">
        <v>2025</v>
      </c>
      <c r="C187">
        <v>1</v>
      </c>
      <c r="D187" t="s">
        <v>31</v>
      </c>
      <c r="E187" t="s">
        <v>49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37</v>
      </c>
      <c r="R187">
        <v>1</v>
      </c>
      <c r="S187" t="s">
        <v>38</v>
      </c>
      <c r="T187" t="s">
        <v>52</v>
      </c>
      <c r="V187" t="s">
        <v>40</v>
      </c>
      <c r="W187" t="s">
        <v>41</v>
      </c>
      <c r="X187" t="s">
        <v>43</v>
      </c>
      <c r="Y187" t="s">
        <v>44</v>
      </c>
      <c r="Z187">
        <v>258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89.442268107987118</v>
      </c>
    </row>
    <row r="188" spans="1:36" x14ac:dyDescent="0.3">
      <c r="A188" t="s">
        <v>72</v>
      </c>
      <c r="B188">
        <v>2025</v>
      </c>
      <c r="C188">
        <v>1</v>
      </c>
      <c r="D188" t="s">
        <v>31</v>
      </c>
      <c r="E188" t="s">
        <v>49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37</v>
      </c>
      <c r="R188">
        <v>1</v>
      </c>
      <c r="S188" t="s">
        <v>38</v>
      </c>
      <c r="T188" t="s">
        <v>52</v>
      </c>
      <c r="V188" t="s">
        <v>40</v>
      </c>
      <c r="W188" t="s">
        <v>41</v>
      </c>
      <c r="X188" t="s">
        <v>43</v>
      </c>
      <c r="Y188" t="s">
        <v>44</v>
      </c>
      <c r="Z188">
        <v>258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132.4492692647265</v>
      </c>
    </row>
    <row r="189" spans="1:36" x14ac:dyDescent="0.3">
      <c r="A189" t="s">
        <v>72</v>
      </c>
      <c r="B189">
        <v>2025</v>
      </c>
      <c r="C189">
        <v>1</v>
      </c>
      <c r="D189" t="s">
        <v>31</v>
      </c>
      <c r="E189" t="s">
        <v>49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37</v>
      </c>
      <c r="R189">
        <v>1</v>
      </c>
      <c r="S189" t="s">
        <v>38</v>
      </c>
      <c r="T189" t="s">
        <v>52</v>
      </c>
      <c r="V189" t="s">
        <v>40</v>
      </c>
      <c r="W189" t="s">
        <v>41</v>
      </c>
      <c r="X189" t="s">
        <v>43</v>
      </c>
      <c r="Y189" t="s">
        <v>44</v>
      </c>
      <c r="Z189">
        <v>258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131.34033315507614</v>
      </c>
    </row>
    <row r="190" spans="1:36" x14ac:dyDescent="0.3">
      <c r="A190" t="s">
        <v>72</v>
      </c>
      <c r="B190">
        <v>2025</v>
      </c>
      <c r="C190">
        <v>1</v>
      </c>
      <c r="D190" t="s">
        <v>31</v>
      </c>
      <c r="E190" t="s">
        <v>49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37</v>
      </c>
      <c r="R190">
        <v>1</v>
      </c>
      <c r="S190" t="s">
        <v>38</v>
      </c>
      <c r="T190" t="s">
        <v>52</v>
      </c>
      <c r="V190" t="s">
        <v>40</v>
      </c>
      <c r="W190" t="s">
        <v>41</v>
      </c>
      <c r="X190" t="s">
        <v>43</v>
      </c>
      <c r="Y190" t="s">
        <v>44</v>
      </c>
      <c r="Z190">
        <v>258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189.74097238462022</v>
      </c>
    </row>
    <row r="191" spans="1:36" x14ac:dyDescent="0.3">
      <c r="A191" t="s">
        <v>72</v>
      </c>
      <c r="B191">
        <v>2025</v>
      </c>
      <c r="C191">
        <v>1</v>
      </c>
      <c r="D191" t="s">
        <v>31</v>
      </c>
      <c r="E191" t="s">
        <v>49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37</v>
      </c>
      <c r="R191">
        <v>1</v>
      </c>
      <c r="S191" t="s">
        <v>38</v>
      </c>
      <c r="T191" t="s">
        <v>52</v>
      </c>
      <c r="V191" t="s">
        <v>40</v>
      </c>
      <c r="W191" t="s">
        <v>41</v>
      </c>
      <c r="X191" t="s">
        <v>43</v>
      </c>
      <c r="Y191" t="s">
        <v>44</v>
      </c>
      <c r="Z191">
        <v>258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3">
      <c r="A192" t="s">
        <v>72</v>
      </c>
      <c r="B192">
        <v>2025</v>
      </c>
      <c r="C192">
        <v>1</v>
      </c>
      <c r="D192" t="s">
        <v>31</v>
      </c>
      <c r="E192" t="s">
        <v>49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37</v>
      </c>
      <c r="R192">
        <v>1</v>
      </c>
      <c r="S192" t="s">
        <v>38</v>
      </c>
      <c r="T192" t="s">
        <v>52</v>
      </c>
      <c r="V192" t="s">
        <v>40</v>
      </c>
      <c r="W192" t="s">
        <v>41</v>
      </c>
      <c r="X192" t="s">
        <v>43</v>
      </c>
      <c r="Y192" t="s">
        <v>44</v>
      </c>
      <c r="Z192">
        <v>258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52" x14ac:dyDescent="0.3">
      <c r="A193" t="s">
        <v>72</v>
      </c>
      <c r="B193">
        <v>2025</v>
      </c>
      <c r="C193">
        <v>1</v>
      </c>
      <c r="D193" t="s">
        <v>31</v>
      </c>
      <c r="E193" t="s">
        <v>49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37</v>
      </c>
      <c r="R193">
        <v>1</v>
      </c>
      <c r="S193" t="s">
        <v>38</v>
      </c>
      <c r="T193" t="s">
        <v>52</v>
      </c>
      <c r="V193" t="s">
        <v>40</v>
      </c>
      <c r="W193" t="s">
        <v>41</v>
      </c>
      <c r="X193" t="s">
        <v>43</v>
      </c>
      <c r="Y193" t="s">
        <v>44</v>
      </c>
      <c r="Z193">
        <v>258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52" x14ac:dyDescent="0.3">
      <c r="A194" t="s">
        <v>72</v>
      </c>
      <c r="B194">
        <v>2025</v>
      </c>
      <c r="C194">
        <v>1</v>
      </c>
      <c r="D194" t="s">
        <v>31</v>
      </c>
      <c r="E194" t="s">
        <v>49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37</v>
      </c>
      <c r="R194">
        <v>1</v>
      </c>
      <c r="S194" t="s">
        <v>38</v>
      </c>
      <c r="T194" t="s">
        <v>52</v>
      </c>
      <c r="V194" t="s">
        <v>40</v>
      </c>
      <c r="W194" t="s">
        <v>41</v>
      </c>
      <c r="X194" t="s">
        <v>43</v>
      </c>
      <c r="Y194" t="s">
        <v>44</v>
      </c>
      <c r="Z194">
        <v>258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52" x14ac:dyDescent="0.3">
      <c r="A195" t="s">
        <v>72</v>
      </c>
      <c r="B195">
        <v>2025</v>
      </c>
      <c r="C195">
        <v>1</v>
      </c>
      <c r="D195" t="s">
        <v>31</v>
      </c>
      <c r="E195" t="s">
        <v>49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37</v>
      </c>
      <c r="R195">
        <v>1</v>
      </c>
      <c r="S195" t="s">
        <v>38</v>
      </c>
      <c r="T195" t="s">
        <v>52</v>
      </c>
      <c r="V195" t="s">
        <v>40</v>
      </c>
      <c r="W195" t="s">
        <v>41</v>
      </c>
      <c r="X195" t="s">
        <v>43</v>
      </c>
      <c r="Y195" t="s">
        <v>44</v>
      </c>
      <c r="Z195">
        <v>258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52" x14ac:dyDescent="0.3">
      <c r="A196" t="s">
        <v>72</v>
      </c>
      <c r="B196">
        <v>2025</v>
      </c>
      <c r="C196">
        <v>1</v>
      </c>
      <c r="D196" t="s">
        <v>31</v>
      </c>
      <c r="E196" t="s">
        <v>49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37</v>
      </c>
      <c r="R196">
        <v>1</v>
      </c>
      <c r="S196" t="s">
        <v>38</v>
      </c>
      <c r="T196" t="s">
        <v>52</v>
      </c>
      <c r="V196" t="s">
        <v>40</v>
      </c>
      <c r="W196" t="s">
        <v>41</v>
      </c>
      <c r="X196" t="s">
        <v>43</v>
      </c>
      <c r="Y196" t="s">
        <v>44</v>
      </c>
      <c r="Z196">
        <v>258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52" x14ac:dyDescent="0.3">
      <c r="A197" t="s">
        <v>72</v>
      </c>
      <c r="B197">
        <v>2025</v>
      </c>
      <c r="C197">
        <v>1</v>
      </c>
      <c r="D197" t="s">
        <v>31</v>
      </c>
      <c r="E197" t="s">
        <v>49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37</v>
      </c>
      <c r="R197">
        <v>1</v>
      </c>
      <c r="S197" t="s">
        <v>38</v>
      </c>
      <c r="T197" t="s">
        <v>52</v>
      </c>
      <c r="V197" t="s">
        <v>40</v>
      </c>
      <c r="W197" t="s">
        <v>41</v>
      </c>
      <c r="X197" t="s">
        <v>43</v>
      </c>
      <c r="Y197" t="s">
        <v>44</v>
      </c>
      <c r="Z197">
        <v>258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9" spans="1:52" x14ac:dyDescent="0.3">
      <c r="AX199" s="4"/>
      <c r="AY199" s="4"/>
      <c r="AZ199" s="4"/>
    </row>
    <row r="200" spans="1:52" s="2" customFormat="1" x14ac:dyDescent="0.3">
      <c r="A200" s="6" t="s">
        <v>0</v>
      </c>
      <c r="B200" s="6" t="s">
        <v>8</v>
      </c>
      <c r="C200" s="6" t="s">
        <v>1</v>
      </c>
      <c r="D200" s="6" t="s">
        <v>2</v>
      </c>
      <c r="E200" s="6" t="s">
        <v>61</v>
      </c>
      <c r="F200" s="6" t="s">
        <v>62</v>
      </c>
      <c r="G200" s="6" t="s">
        <v>63</v>
      </c>
      <c r="H200" s="6" t="s">
        <v>11</v>
      </c>
      <c r="I200" s="6" t="s">
        <v>12</v>
      </c>
      <c r="J200" s="6" t="s">
        <v>56</v>
      </c>
      <c r="K200" s="6" t="s">
        <v>55</v>
      </c>
      <c r="L200" s="6" t="s">
        <v>29</v>
      </c>
    </row>
    <row r="201" spans="1:52" s="5" customFormat="1" x14ac:dyDescent="0.3">
      <c r="A201" t="s">
        <v>80</v>
      </c>
      <c r="B201">
        <v>2025</v>
      </c>
      <c r="C201">
        <v>1</v>
      </c>
      <c r="D201" t="s">
        <v>31</v>
      </c>
      <c r="E201" t="s">
        <v>49</v>
      </c>
      <c r="F201" t="s">
        <v>50</v>
      </c>
      <c r="G201" t="s">
        <v>34</v>
      </c>
      <c r="H201" t="s">
        <v>35</v>
      </c>
      <c r="I201">
        <v>127160</v>
      </c>
      <c r="J201" t="s">
        <v>60</v>
      </c>
      <c r="K201" t="s">
        <v>73</v>
      </c>
      <c r="L201"/>
    </row>
    <row r="202" spans="1:52" s="5" customFormat="1" x14ac:dyDescent="0.3">
      <c r="A202" t="s">
        <v>80</v>
      </c>
      <c r="B202">
        <v>2025</v>
      </c>
      <c r="C202">
        <v>1</v>
      </c>
      <c r="D202" t="s">
        <v>31</v>
      </c>
      <c r="E202" t="s">
        <v>49</v>
      </c>
      <c r="F202" t="s">
        <v>78</v>
      </c>
      <c r="G202" t="s">
        <v>34</v>
      </c>
      <c r="H202" t="s">
        <v>35</v>
      </c>
      <c r="I202">
        <v>127160</v>
      </c>
      <c r="J202" t="s">
        <v>60</v>
      </c>
      <c r="K202" t="s">
        <v>73</v>
      </c>
      <c r="L202"/>
    </row>
    <row r="203" spans="1:52" x14ac:dyDescent="0.3">
      <c r="A203" t="s">
        <v>80</v>
      </c>
      <c r="B203">
        <v>2025</v>
      </c>
      <c r="C203">
        <v>1</v>
      </c>
      <c r="D203" t="s">
        <v>31</v>
      </c>
      <c r="E203" t="s">
        <v>49</v>
      </c>
      <c r="F203" t="s">
        <v>79</v>
      </c>
      <c r="G203" t="s">
        <v>34</v>
      </c>
      <c r="H203" t="s">
        <v>35</v>
      </c>
      <c r="I203">
        <v>127160</v>
      </c>
      <c r="J203" t="s">
        <v>60</v>
      </c>
      <c r="K203" t="s">
        <v>73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4762-1683-47BF-8D26-0CCFE11A3B49}">
  <sheetPr>
    <tabColor rgb="FF00B0F0"/>
  </sheetPr>
  <dimension ref="A1:AE19"/>
  <sheetViews>
    <sheetView zoomScale="60" zoomScaleNormal="60" workbookViewId="0">
      <selection activeCell="Z7" sqref="Z7"/>
    </sheetView>
  </sheetViews>
  <sheetFormatPr defaultRowHeight="14.4" x14ac:dyDescent="0.3"/>
  <cols>
    <col min="1" max="1" width="16.5546875" customWidth="1"/>
    <col min="2" max="2" width="30.88671875" customWidth="1"/>
    <col min="3" max="3" width="11" customWidth="1"/>
    <col min="4" max="4" width="49.6640625" customWidth="1"/>
    <col min="5" max="5" width="38.5546875" customWidth="1"/>
    <col min="6" max="6" width="55.44140625" customWidth="1"/>
    <col min="7" max="7" width="51.6640625" customWidth="1"/>
    <col min="8" max="8" width="25.44140625" customWidth="1"/>
    <col min="9" max="9" width="22.33203125" bestFit="1" customWidth="1"/>
    <col min="10" max="10" width="31.88671875" customWidth="1"/>
    <col min="11" max="12" width="22.33203125" customWidth="1"/>
    <col min="13" max="13" width="18.33203125" customWidth="1"/>
    <col min="14" max="14" width="18.44140625" customWidth="1"/>
    <col min="15" max="15" width="13.33203125" customWidth="1"/>
    <col min="16" max="16" width="12.44140625" customWidth="1"/>
    <col min="17" max="18" width="14" bestFit="1" customWidth="1"/>
    <col min="19" max="19" width="18.33203125" customWidth="1"/>
    <col min="20" max="21" width="33.6640625" bestFit="1" customWidth="1"/>
    <col min="22" max="22" width="24.109375" bestFit="1" customWidth="1"/>
    <col min="23" max="23" width="27.5546875" bestFit="1" customWidth="1"/>
    <col min="24" max="24" width="18.6640625" customWidth="1"/>
    <col min="25" max="25" width="27.44140625" customWidth="1"/>
    <col min="26" max="26" width="39.6640625" customWidth="1"/>
    <col min="27" max="27" width="38.5546875" bestFit="1" customWidth="1"/>
    <col min="28" max="28" width="37.33203125" customWidth="1"/>
    <col min="29" max="29" width="15.6640625" customWidth="1"/>
    <col min="30" max="30" width="17" customWidth="1"/>
    <col min="31" max="31" width="21.6640625" customWidth="1"/>
    <col min="32" max="32" width="12.6640625" bestFit="1" customWidth="1"/>
    <col min="33" max="33" width="9.5546875" bestFit="1" customWidth="1"/>
    <col min="34" max="34" width="14.109375" customWidth="1"/>
    <col min="35" max="35" width="22.44140625" customWidth="1"/>
    <col min="36" max="36" width="28.5546875" customWidth="1"/>
    <col min="37" max="37" width="27.44140625" customWidth="1"/>
    <col min="38" max="38" width="21.88671875" customWidth="1"/>
    <col min="39" max="39" width="23" customWidth="1"/>
    <col min="40" max="40" width="12.6640625" bestFit="1" customWidth="1"/>
    <col min="41" max="41" width="11.44140625" customWidth="1"/>
  </cols>
  <sheetData>
    <row r="1" spans="1:31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>
        <v>2025</v>
      </c>
      <c r="C2">
        <v>2</v>
      </c>
      <c r="D2" t="s">
        <v>89</v>
      </c>
      <c r="G2" t="s">
        <v>50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37</v>
      </c>
      <c r="R2">
        <v>1</v>
      </c>
      <c r="S2" t="s">
        <v>38</v>
      </c>
      <c r="T2" t="s">
        <v>39</v>
      </c>
      <c r="V2" t="s">
        <v>40</v>
      </c>
      <c r="W2" t="s">
        <v>41</v>
      </c>
      <c r="X2" t="s">
        <v>43</v>
      </c>
      <c r="Y2" t="s">
        <v>44</v>
      </c>
      <c r="Z2">
        <v>5998.7539999999999</v>
      </c>
      <c r="AB2" t="s">
        <v>45</v>
      </c>
      <c r="AC2">
        <v>2</v>
      </c>
      <c r="AD2">
        <v>2</v>
      </c>
    </row>
    <row r="3" spans="1:31" x14ac:dyDescent="0.3">
      <c r="A3" t="s">
        <v>30</v>
      </c>
      <c r="B3">
        <v>2025</v>
      </c>
      <c r="C3">
        <v>2</v>
      </c>
      <c r="D3" t="s">
        <v>89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B3" t="s">
        <v>45</v>
      </c>
      <c r="AC3">
        <v>8</v>
      </c>
      <c r="AD3">
        <v>8</v>
      </c>
    </row>
    <row r="4" spans="1:31" x14ac:dyDescent="0.3">
      <c r="A4" t="s">
        <v>30</v>
      </c>
      <c r="B4">
        <v>2025</v>
      </c>
      <c r="C4">
        <v>2</v>
      </c>
      <c r="D4" t="s">
        <v>89</v>
      </c>
      <c r="G4" t="s">
        <v>78</v>
      </c>
      <c r="H4" t="s">
        <v>32</v>
      </c>
      <c r="I4" t="s">
        <v>84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39</v>
      </c>
      <c r="V4" t="s">
        <v>40</v>
      </c>
      <c r="W4" t="s">
        <v>41</v>
      </c>
      <c r="X4" t="s">
        <v>43</v>
      </c>
      <c r="Y4" t="s">
        <v>44</v>
      </c>
      <c r="Z4">
        <v>12569</v>
      </c>
      <c r="AB4" t="s">
        <v>45</v>
      </c>
      <c r="AC4">
        <v>12</v>
      </c>
      <c r="AD4">
        <v>12</v>
      </c>
    </row>
    <row r="5" spans="1:31" x14ac:dyDescent="0.3">
      <c r="A5" t="s">
        <v>30</v>
      </c>
      <c r="B5">
        <v>2025</v>
      </c>
      <c r="C5">
        <v>2</v>
      </c>
      <c r="D5" t="s">
        <v>89</v>
      </c>
      <c r="E5" t="s">
        <v>90</v>
      </c>
      <c r="F5" t="s">
        <v>78</v>
      </c>
      <c r="H5" t="s">
        <v>51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37</v>
      </c>
      <c r="R5">
        <v>1</v>
      </c>
      <c r="S5" t="s">
        <v>38</v>
      </c>
      <c r="T5" t="s">
        <v>52</v>
      </c>
      <c r="V5" t="s">
        <v>40</v>
      </c>
      <c r="W5" t="s">
        <v>41</v>
      </c>
      <c r="X5" t="s">
        <v>43</v>
      </c>
      <c r="Y5" t="s">
        <v>44</v>
      </c>
      <c r="Z5">
        <v>258</v>
      </c>
    </row>
    <row r="6" spans="1:31" x14ac:dyDescent="0.3">
      <c r="A6" t="s">
        <v>30</v>
      </c>
      <c r="B6">
        <v>2025</v>
      </c>
      <c r="C6">
        <v>2</v>
      </c>
      <c r="D6" t="s">
        <v>89</v>
      </c>
      <c r="G6" t="s">
        <v>50</v>
      </c>
      <c r="H6" t="s">
        <v>32</v>
      </c>
      <c r="I6" t="s">
        <v>33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53</v>
      </c>
      <c r="Q6" t="s">
        <v>37</v>
      </c>
      <c r="R6">
        <v>1</v>
      </c>
      <c r="S6" t="s">
        <v>38</v>
      </c>
      <c r="T6" t="s">
        <v>39</v>
      </c>
      <c r="V6" t="s">
        <v>40</v>
      </c>
      <c r="W6" t="s">
        <v>41</v>
      </c>
      <c r="X6" t="s">
        <v>43</v>
      </c>
      <c r="Y6" t="s">
        <v>44</v>
      </c>
      <c r="Z6">
        <v>249986.1</v>
      </c>
    </row>
    <row r="7" spans="1:31" x14ac:dyDescent="0.3">
      <c r="A7" t="s">
        <v>30</v>
      </c>
      <c r="B7">
        <v>2025</v>
      </c>
      <c r="C7">
        <v>2</v>
      </c>
      <c r="D7" t="s">
        <v>89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672669</v>
      </c>
    </row>
    <row r="8" spans="1:31" x14ac:dyDescent="0.3">
      <c r="A8" t="s">
        <v>30</v>
      </c>
      <c r="B8">
        <v>2025</v>
      </c>
      <c r="C8">
        <v>2</v>
      </c>
      <c r="D8" t="s">
        <v>89</v>
      </c>
      <c r="G8" t="s">
        <v>78</v>
      </c>
      <c r="H8" t="s">
        <v>32</v>
      </c>
      <c r="I8" t="s">
        <v>84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39</v>
      </c>
      <c r="V8" t="s">
        <v>40</v>
      </c>
      <c r="W8" t="s">
        <v>41</v>
      </c>
      <c r="X8" t="s">
        <v>43</v>
      </c>
      <c r="Y8" t="s">
        <v>44</v>
      </c>
      <c r="Z8">
        <v>210300</v>
      </c>
    </row>
    <row r="9" spans="1:31" x14ac:dyDescent="0.3">
      <c r="A9" t="s">
        <v>30</v>
      </c>
      <c r="B9">
        <v>2025</v>
      </c>
      <c r="C9">
        <v>2</v>
      </c>
      <c r="D9" t="s">
        <v>89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37</v>
      </c>
      <c r="R9">
        <v>1</v>
      </c>
      <c r="S9" t="s">
        <v>38</v>
      </c>
      <c r="T9" t="s">
        <v>52</v>
      </c>
      <c r="V9" t="s">
        <v>40</v>
      </c>
      <c r="W9" t="s">
        <v>41</v>
      </c>
      <c r="X9" t="s">
        <v>43</v>
      </c>
      <c r="Y9" t="s">
        <v>44</v>
      </c>
      <c r="Z9">
        <v>5236</v>
      </c>
    </row>
    <row r="10" spans="1:31" x14ac:dyDescent="0.3">
      <c r="A10" t="s">
        <v>30</v>
      </c>
      <c r="B10">
        <v>2025</v>
      </c>
      <c r="C10">
        <v>2</v>
      </c>
      <c r="D10" t="s">
        <v>89</v>
      </c>
      <c r="E10" t="s">
        <v>90</v>
      </c>
      <c r="F10" t="s">
        <v>50</v>
      </c>
      <c r="H10" t="s">
        <v>51</v>
      </c>
      <c r="I10" t="s">
        <v>33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261.7093656822575</v>
      </c>
    </row>
    <row r="11" spans="1:31" x14ac:dyDescent="0.3">
      <c r="A11" t="s">
        <v>30</v>
      </c>
      <c r="B11">
        <v>2025</v>
      </c>
      <c r="C11">
        <v>2</v>
      </c>
      <c r="D11" t="s">
        <v>89</v>
      </c>
      <c r="E11" t="s">
        <v>90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2</v>
      </c>
      <c r="S11" t="s">
        <v>38</v>
      </c>
      <c r="T11" t="s">
        <v>39</v>
      </c>
      <c r="V11" t="s">
        <v>40</v>
      </c>
      <c r="W11" t="s">
        <v>41</v>
      </c>
      <c r="X11" t="s">
        <v>43</v>
      </c>
      <c r="Y11" t="s">
        <v>44</v>
      </c>
      <c r="Z11">
        <v>909.72997266172501</v>
      </c>
    </row>
    <row r="12" spans="1:31" x14ac:dyDescent="0.3">
      <c r="A12" t="s">
        <v>30</v>
      </c>
      <c r="B12">
        <v>2025</v>
      </c>
      <c r="C12">
        <v>2</v>
      </c>
      <c r="D12" t="s">
        <v>89</v>
      </c>
      <c r="E12" t="s">
        <v>90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52</v>
      </c>
      <c r="V12" t="s">
        <v>40</v>
      </c>
      <c r="W12" t="s">
        <v>41</v>
      </c>
      <c r="X12" t="s">
        <v>43</v>
      </c>
      <c r="Y12" t="s">
        <v>44</v>
      </c>
      <c r="Z12">
        <v>103.41227403663601</v>
      </c>
    </row>
    <row r="13" spans="1:31" x14ac:dyDescent="0.3">
      <c r="A13" t="s">
        <v>30</v>
      </c>
      <c r="B13">
        <v>2025</v>
      </c>
      <c r="C13">
        <v>2</v>
      </c>
      <c r="D13" t="s">
        <v>89</v>
      </c>
      <c r="H13" t="s">
        <v>32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53</v>
      </c>
      <c r="Q13" t="s">
        <v>37</v>
      </c>
      <c r="R13">
        <v>1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10888.5</v>
      </c>
    </row>
    <row r="14" spans="1:31" x14ac:dyDescent="0.3">
      <c r="A14" t="s">
        <v>30</v>
      </c>
      <c r="B14">
        <v>2025</v>
      </c>
      <c r="C14">
        <v>2</v>
      </c>
      <c r="D14" t="s">
        <v>89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2</v>
      </c>
      <c r="S14" t="s">
        <v>38</v>
      </c>
      <c r="T14" t="s">
        <v>39</v>
      </c>
      <c r="V14" t="s">
        <v>40</v>
      </c>
      <c r="W14" t="s">
        <v>41</v>
      </c>
      <c r="X14" t="s">
        <v>43</v>
      </c>
      <c r="Y14" t="s">
        <v>44</v>
      </c>
      <c r="Z14">
        <v>37849.599999999999</v>
      </c>
    </row>
    <row r="15" spans="1:31" x14ac:dyDescent="0.3">
      <c r="A15" t="s">
        <v>30</v>
      </c>
      <c r="B15">
        <v>2025</v>
      </c>
      <c r="C15">
        <v>2</v>
      </c>
      <c r="D15" t="s">
        <v>89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52</v>
      </c>
      <c r="V15" t="s">
        <v>40</v>
      </c>
      <c r="W15" t="s">
        <v>41</v>
      </c>
      <c r="X15" t="s">
        <v>43</v>
      </c>
      <c r="Y15" t="s">
        <v>44</v>
      </c>
      <c r="Z15">
        <v>4302.5</v>
      </c>
    </row>
    <row r="17" spans="1:31" s="2" customFormat="1" x14ac:dyDescent="0.3">
      <c r="A17" s="1" t="s">
        <v>0</v>
      </c>
      <c r="B17" s="1" t="s">
        <v>8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6</v>
      </c>
      <c r="H17" s="1" t="s">
        <v>7</v>
      </c>
      <c r="I17" s="1" t="s">
        <v>83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1" t="s">
        <v>19</v>
      </c>
      <c r="U17" s="1" t="s">
        <v>20</v>
      </c>
      <c r="V17" s="1" t="s">
        <v>58</v>
      </c>
      <c r="W17" s="1" t="s">
        <v>21</v>
      </c>
      <c r="X17" s="1" t="s">
        <v>22</v>
      </c>
      <c r="Y17" s="1" t="s">
        <v>23</v>
      </c>
      <c r="Z17" s="1" t="s">
        <v>56</v>
      </c>
      <c r="AA17" s="1" t="s">
        <v>54</v>
      </c>
      <c r="AB17" s="1" t="s">
        <v>55</v>
      </c>
      <c r="AC17" s="1" t="s">
        <v>57</v>
      </c>
      <c r="AE17" s="1" t="s">
        <v>29</v>
      </c>
    </row>
    <row r="18" spans="1:31" x14ac:dyDescent="0.3">
      <c r="A18" t="s">
        <v>59</v>
      </c>
      <c r="B18">
        <v>2025</v>
      </c>
      <c r="C18">
        <v>2</v>
      </c>
      <c r="D18" t="s">
        <v>89</v>
      </c>
      <c r="E18" t="s">
        <v>90</v>
      </c>
      <c r="F18" t="s">
        <v>50</v>
      </c>
      <c r="G18" t="s">
        <v>33</v>
      </c>
      <c r="H18" t="s">
        <v>32</v>
      </c>
      <c r="J18">
        <v>2024</v>
      </c>
      <c r="K18" t="s">
        <v>34</v>
      </c>
      <c r="L18" t="s">
        <v>35</v>
      </c>
      <c r="M18">
        <v>127160</v>
      </c>
      <c r="N18" t="s">
        <v>36</v>
      </c>
      <c r="O18" t="s">
        <v>37</v>
      </c>
      <c r="P18">
        <v>1</v>
      </c>
      <c r="Q18" t="s">
        <v>38</v>
      </c>
      <c r="R18" t="s">
        <v>39</v>
      </c>
      <c r="T18" t="s">
        <v>40</v>
      </c>
      <c r="U18" t="s">
        <v>41</v>
      </c>
      <c r="V18">
        <v>2.3996350197070956E-2</v>
      </c>
      <c r="W18" t="s">
        <v>42</v>
      </c>
      <c r="X18" t="s">
        <v>43</v>
      </c>
      <c r="Y18" t="s">
        <v>44</v>
      </c>
      <c r="Z18" t="s">
        <v>60</v>
      </c>
      <c r="AA18" t="s">
        <v>53</v>
      </c>
      <c r="AB18" t="s">
        <v>43</v>
      </c>
      <c r="AC18">
        <f>SUM(Z6)</f>
        <v>249986.1</v>
      </c>
    </row>
    <row r="19" spans="1:31" x14ac:dyDescent="0.3">
      <c r="A19" t="s">
        <v>59</v>
      </c>
      <c r="B19">
        <v>2025</v>
      </c>
      <c r="C19">
        <v>2</v>
      </c>
      <c r="D19" t="s">
        <v>89</v>
      </c>
      <c r="E19" t="s">
        <v>90</v>
      </c>
      <c r="F19" t="s">
        <v>78</v>
      </c>
      <c r="G19" t="s">
        <v>84</v>
      </c>
      <c r="H19" t="s">
        <v>32</v>
      </c>
      <c r="J19">
        <v>2024</v>
      </c>
      <c r="K19" t="s">
        <v>34</v>
      </c>
      <c r="L19" t="s">
        <v>35</v>
      </c>
      <c r="M19">
        <v>127160</v>
      </c>
      <c r="N19" t="s">
        <v>36</v>
      </c>
      <c r="O19" t="s">
        <v>47</v>
      </c>
      <c r="P19">
        <v>2024</v>
      </c>
      <c r="Q19" t="s">
        <v>38</v>
      </c>
      <c r="R19" t="s">
        <v>39</v>
      </c>
      <c r="T19" t="s">
        <v>40</v>
      </c>
      <c r="U19" t="s">
        <v>41</v>
      </c>
      <c r="V19">
        <v>5.9766999524488829E-2</v>
      </c>
      <c r="W19" t="s">
        <v>42</v>
      </c>
      <c r="X19" t="s">
        <v>43</v>
      </c>
      <c r="Y19" t="s">
        <v>44</v>
      </c>
      <c r="Z19" t="s">
        <v>60</v>
      </c>
      <c r="AA19" t="s">
        <v>53</v>
      </c>
      <c r="AB19" t="s">
        <v>43</v>
      </c>
      <c r="AC19">
        <f>Z8</f>
        <v>210300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77A8-9EFE-4CE1-ABAD-95F6BADBBCB4}">
  <sheetPr>
    <tabColor rgb="FF00B0F0"/>
  </sheetPr>
  <dimension ref="A1:AR202"/>
  <sheetViews>
    <sheetView topLeftCell="A154" zoomScale="60" zoomScaleNormal="60" workbookViewId="0">
      <selection activeCell="I209" sqref="I209"/>
    </sheetView>
  </sheetViews>
  <sheetFormatPr defaultRowHeight="14.4" x14ac:dyDescent="0.3"/>
  <cols>
    <col min="1" max="1" width="15.109375" customWidth="1"/>
    <col min="2" max="2" width="24" customWidth="1"/>
    <col min="3" max="3" width="10.6640625" customWidth="1"/>
    <col min="4" max="4" width="55.5546875" customWidth="1"/>
    <col min="5" max="5" width="46.5546875" customWidth="1"/>
    <col min="6" max="6" width="55.44140625" customWidth="1"/>
    <col min="7" max="7" width="61.33203125" customWidth="1"/>
    <col min="8" max="8" width="30" customWidth="1"/>
    <col min="9" max="9" width="44.109375" bestFit="1" customWidth="1"/>
    <col min="10" max="10" width="22.6640625" bestFit="1" customWidth="1"/>
    <col min="11" max="12" width="25.44140625" customWidth="1"/>
    <col min="13" max="13" width="16.44140625" customWidth="1"/>
    <col min="14" max="14" width="18.109375" customWidth="1"/>
    <col min="15" max="15" width="17.44140625" bestFit="1" customWidth="1"/>
    <col min="16" max="16" width="19.33203125" bestFit="1" customWidth="1"/>
    <col min="17" max="17" width="18.6640625" bestFit="1" customWidth="1"/>
    <col min="18" max="18" width="15.44140625" bestFit="1" customWidth="1"/>
    <col min="19" max="19" width="16.6640625" bestFit="1" customWidth="1"/>
    <col min="20" max="20" width="23.88671875" customWidth="1"/>
    <col min="21" max="21" width="32.6640625" bestFit="1" customWidth="1"/>
    <col min="22" max="22" width="34.109375" customWidth="1"/>
    <col min="23" max="23" width="23.44140625" customWidth="1"/>
    <col min="24" max="24" width="26.6640625" bestFit="1" customWidth="1"/>
    <col min="25" max="25" width="39.33203125" bestFit="1" customWidth="1"/>
    <col min="26" max="26" width="48" customWidth="1"/>
    <col min="27" max="27" width="40.5546875" customWidth="1"/>
    <col min="28" max="30" width="28" customWidth="1"/>
    <col min="31" max="31" width="24.6640625" customWidth="1"/>
    <col min="32" max="32" width="23.5546875" customWidth="1"/>
    <col min="33" max="33" width="18.6640625" hidden="1" customWidth="1"/>
    <col min="34" max="34" width="27.33203125" hidden="1" customWidth="1"/>
    <col min="35" max="35" width="20.33203125" hidden="1" customWidth="1"/>
    <col min="36" max="36" width="32.44140625" customWidth="1"/>
    <col min="37" max="37" width="19.33203125" bestFit="1" customWidth="1"/>
    <col min="38" max="38" width="28.6640625" customWidth="1"/>
    <col min="39" max="39" width="13.6640625" bestFit="1" customWidth="1"/>
    <col min="40" max="40" width="12" bestFit="1" customWidth="1"/>
    <col min="41" max="41" width="16.33203125" customWidth="1"/>
    <col min="42" max="42" width="11" bestFit="1" customWidth="1"/>
    <col min="43" max="43" width="13.6640625" bestFit="1" customWidth="1"/>
    <col min="44" max="44" width="13.33203125" bestFit="1" customWidth="1"/>
    <col min="45" max="45" width="25.44140625" bestFit="1" customWidth="1"/>
    <col min="46" max="46" width="16.33203125" customWidth="1"/>
    <col min="47" max="47" width="17.88671875" bestFit="1" customWidth="1"/>
    <col min="48" max="48" width="15.33203125" bestFit="1" customWidth="1"/>
    <col min="49" max="49" width="11.33203125" bestFit="1" customWidth="1"/>
    <col min="50" max="50" width="13.109375" bestFit="1" customWidth="1"/>
    <col min="51" max="51" width="9.6640625" bestFit="1" customWidth="1"/>
    <col min="52" max="52" width="12" bestFit="1" customWidth="1"/>
  </cols>
  <sheetData>
    <row r="1" spans="1:44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3">
      <c r="A2" t="s">
        <v>72</v>
      </c>
      <c r="B2">
        <v>2025</v>
      </c>
      <c r="C2">
        <v>2</v>
      </c>
      <c r="D2" t="s">
        <v>89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3">
      <c r="A3" t="s">
        <v>72</v>
      </c>
      <c r="B3">
        <v>2025</v>
      </c>
      <c r="C3">
        <v>2</v>
      </c>
      <c r="D3" t="s">
        <v>89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3">
      <c r="A4" t="s">
        <v>72</v>
      </c>
      <c r="B4">
        <v>2025</v>
      </c>
      <c r="C4">
        <v>2</v>
      </c>
      <c r="D4" t="s">
        <v>89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3">
      <c r="A5" t="s">
        <v>72</v>
      </c>
      <c r="B5">
        <v>2025</v>
      </c>
      <c r="C5">
        <v>2</v>
      </c>
      <c r="D5" t="s">
        <v>89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3">
      <c r="A6" t="s">
        <v>72</v>
      </c>
      <c r="B6">
        <v>2025</v>
      </c>
      <c r="C6">
        <v>2</v>
      </c>
      <c r="D6" t="s">
        <v>89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3">
      <c r="A7" t="s">
        <v>72</v>
      </c>
      <c r="B7">
        <v>2025</v>
      </c>
      <c r="C7">
        <v>2</v>
      </c>
      <c r="D7" t="s">
        <v>89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3">
      <c r="A8" t="s">
        <v>72</v>
      </c>
      <c r="B8">
        <v>2025</v>
      </c>
      <c r="C8">
        <v>2</v>
      </c>
      <c r="D8" t="s">
        <v>89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3">
      <c r="A9" t="s">
        <v>72</v>
      </c>
      <c r="B9">
        <v>2025</v>
      </c>
      <c r="C9">
        <v>2</v>
      </c>
      <c r="D9" t="s">
        <v>89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3">
      <c r="A10" t="s">
        <v>72</v>
      </c>
      <c r="B10">
        <v>2025</v>
      </c>
      <c r="C10">
        <v>2</v>
      </c>
      <c r="D10" t="s">
        <v>89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3">
      <c r="A11" t="s">
        <v>72</v>
      </c>
      <c r="B11">
        <v>2025</v>
      </c>
      <c r="C11">
        <v>2</v>
      </c>
      <c r="D11" t="s">
        <v>89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3">
      <c r="A12" t="s">
        <v>72</v>
      </c>
      <c r="B12">
        <v>2025</v>
      </c>
      <c r="C12">
        <v>2</v>
      </c>
      <c r="D12" t="s">
        <v>89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3">
      <c r="A13" t="s">
        <v>72</v>
      </c>
      <c r="B13">
        <v>2025</v>
      </c>
      <c r="C13">
        <v>2</v>
      </c>
      <c r="D13" t="s">
        <v>89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3">
      <c r="A14" t="s">
        <v>72</v>
      </c>
      <c r="B14">
        <v>2025</v>
      </c>
      <c r="C14">
        <v>2</v>
      </c>
      <c r="D14" t="s">
        <v>89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3">
      <c r="A15" t="s">
        <v>72</v>
      </c>
      <c r="B15">
        <v>2025</v>
      </c>
      <c r="C15">
        <v>2</v>
      </c>
      <c r="D15" t="s">
        <v>89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3">
      <c r="A16" t="s">
        <v>72</v>
      </c>
      <c r="B16">
        <v>2025</v>
      </c>
      <c r="C16">
        <v>2</v>
      </c>
      <c r="D16" t="s">
        <v>89</v>
      </c>
      <c r="G16" t="s">
        <v>78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3">
      <c r="A17" t="s">
        <v>72</v>
      </c>
      <c r="B17">
        <v>2025</v>
      </c>
      <c r="C17">
        <v>2</v>
      </c>
      <c r="D17" t="s">
        <v>89</v>
      </c>
      <c r="G17" t="s">
        <v>78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3">
      <c r="A18" t="s">
        <v>72</v>
      </c>
      <c r="B18">
        <v>2025</v>
      </c>
      <c r="C18">
        <v>2</v>
      </c>
      <c r="D18" t="s">
        <v>89</v>
      </c>
      <c r="G18" t="s">
        <v>78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3">
      <c r="A19" t="s">
        <v>72</v>
      </c>
      <c r="B19">
        <v>2025</v>
      </c>
      <c r="C19">
        <v>2</v>
      </c>
      <c r="D19" t="s">
        <v>89</v>
      </c>
      <c r="G19" t="s">
        <v>78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3">
      <c r="A20" t="s">
        <v>72</v>
      </c>
      <c r="B20">
        <v>2025</v>
      </c>
      <c r="C20">
        <v>2</v>
      </c>
      <c r="D20" t="s">
        <v>89</v>
      </c>
      <c r="G20" t="s">
        <v>78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3">
      <c r="A21" t="s">
        <v>72</v>
      </c>
      <c r="B21">
        <v>2025</v>
      </c>
      <c r="C21">
        <v>2</v>
      </c>
      <c r="D21" t="s">
        <v>89</v>
      </c>
      <c r="G21" t="s">
        <v>78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3">
      <c r="A22" t="s">
        <v>72</v>
      </c>
      <c r="B22">
        <v>2025</v>
      </c>
      <c r="C22">
        <v>2</v>
      </c>
      <c r="D22" t="s">
        <v>89</v>
      </c>
      <c r="G22" t="s">
        <v>78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3">
      <c r="A23" t="s">
        <v>72</v>
      </c>
      <c r="B23">
        <v>2025</v>
      </c>
      <c r="C23">
        <v>2</v>
      </c>
      <c r="D23" t="s">
        <v>89</v>
      </c>
      <c r="G23" t="s">
        <v>78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3">
      <c r="A24" t="s">
        <v>72</v>
      </c>
      <c r="B24">
        <v>2025</v>
      </c>
      <c r="C24">
        <v>2</v>
      </c>
      <c r="D24" t="s">
        <v>89</v>
      </c>
      <c r="G24" t="s">
        <v>78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3">
      <c r="A25" t="s">
        <v>72</v>
      </c>
      <c r="B25">
        <v>2025</v>
      </c>
      <c r="C25">
        <v>2</v>
      </c>
      <c r="D25" t="s">
        <v>89</v>
      </c>
      <c r="G25" t="s">
        <v>78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3">
      <c r="A26" t="s">
        <v>72</v>
      </c>
      <c r="B26">
        <v>2025</v>
      </c>
      <c r="C26">
        <v>2</v>
      </c>
      <c r="D26" t="s">
        <v>89</v>
      </c>
      <c r="G26" t="s">
        <v>78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3">
      <c r="A27" t="s">
        <v>72</v>
      </c>
      <c r="B27">
        <v>2025</v>
      </c>
      <c r="C27">
        <v>2</v>
      </c>
      <c r="D27" t="s">
        <v>89</v>
      </c>
      <c r="G27" t="s">
        <v>78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3">
      <c r="A28" t="s">
        <v>72</v>
      </c>
      <c r="B28">
        <v>2025</v>
      </c>
      <c r="C28">
        <v>2</v>
      </c>
      <c r="D28" t="s">
        <v>89</v>
      </c>
      <c r="G28" t="s">
        <v>78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3">
      <c r="A29" t="s">
        <v>72</v>
      </c>
      <c r="B29">
        <v>2025</v>
      </c>
      <c r="C29">
        <v>2</v>
      </c>
      <c r="D29" t="s">
        <v>89</v>
      </c>
      <c r="G29" t="s">
        <v>78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3">
      <c r="A30" t="s">
        <v>72</v>
      </c>
      <c r="B30">
        <v>2025</v>
      </c>
      <c r="C30">
        <v>2</v>
      </c>
      <c r="D30" t="s">
        <v>89</v>
      </c>
      <c r="G30" t="s">
        <v>96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3">
      <c r="A31" t="s">
        <v>72</v>
      </c>
      <c r="B31">
        <v>2025</v>
      </c>
      <c r="C31">
        <v>2</v>
      </c>
      <c r="D31" t="s">
        <v>89</v>
      </c>
      <c r="G31" t="s">
        <v>96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3">
      <c r="A32" t="s">
        <v>72</v>
      </c>
      <c r="B32">
        <v>2025</v>
      </c>
      <c r="C32">
        <v>2</v>
      </c>
      <c r="D32" t="s">
        <v>89</v>
      </c>
      <c r="G32" t="s">
        <v>96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3">
      <c r="A33" t="s">
        <v>72</v>
      </c>
      <c r="B33">
        <v>2025</v>
      </c>
      <c r="C33">
        <v>2</v>
      </c>
      <c r="D33" t="s">
        <v>89</v>
      </c>
      <c r="G33" t="s">
        <v>96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3">
      <c r="A34" t="s">
        <v>72</v>
      </c>
      <c r="B34">
        <v>2025</v>
      </c>
      <c r="C34">
        <v>2</v>
      </c>
      <c r="D34" t="s">
        <v>89</v>
      </c>
      <c r="G34" t="s">
        <v>96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3">
      <c r="A35" t="s">
        <v>72</v>
      </c>
      <c r="B35">
        <v>2025</v>
      </c>
      <c r="C35">
        <v>2</v>
      </c>
      <c r="D35" t="s">
        <v>89</v>
      </c>
      <c r="G35" t="s">
        <v>96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3">
      <c r="A36" t="s">
        <v>72</v>
      </c>
      <c r="B36">
        <v>2025</v>
      </c>
      <c r="C36">
        <v>2</v>
      </c>
      <c r="D36" t="s">
        <v>89</v>
      </c>
      <c r="G36" t="s">
        <v>96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3">
      <c r="A37" t="s">
        <v>72</v>
      </c>
      <c r="B37">
        <v>2025</v>
      </c>
      <c r="C37">
        <v>2</v>
      </c>
      <c r="D37" t="s">
        <v>89</v>
      </c>
      <c r="G37" t="s">
        <v>96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3">
      <c r="A38" t="s">
        <v>72</v>
      </c>
      <c r="B38">
        <v>2025</v>
      </c>
      <c r="C38">
        <v>2</v>
      </c>
      <c r="D38" t="s">
        <v>89</v>
      </c>
      <c r="G38" t="s">
        <v>96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3">
      <c r="A39" t="s">
        <v>72</v>
      </c>
      <c r="B39">
        <v>2025</v>
      </c>
      <c r="C39">
        <v>2</v>
      </c>
      <c r="D39" t="s">
        <v>89</v>
      </c>
      <c r="G39" t="s">
        <v>96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3">
      <c r="A40" t="s">
        <v>72</v>
      </c>
      <c r="B40">
        <v>2025</v>
      </c>
      <c r="C40">
        <v>2</v>
      </c>
      <c r="D40" t="s">
        <v>89</v>
      </c>
      <c r="G40" t="s">
        <v>96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3">
      <c r="A41" t="s">
        <v>72</v>
      </c>
      <c r="B41">
        <v>2025</v>
      </c>
      <c r="C41">
        <v>2</v>
      </c>
      <c r="D41" t="s">
        <v>89</v>
      </c>
      <c r="G41" t="s">
        <v>96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3">
      <c r="A42" t="s">
        <v>72</v>
      </c>
      <c r="B42">
        <v>2025</v>
      </c>
      <c r="C42">
        <v>2</v>
      </c>
      <c r="D42" t="s">
        <v>89</v>
      </c>
      <c r="G42" t="s">
        <v>96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3">
      <c r="A43" t="s">
        <v>72</v>
      </c>
      <c r="B43">
        <v>2025</v>
      </c>
      <c r="C43">
        <v>2</v>
      </c>
      <c r="D43" t="s">
        <v>89</v>
      </c>
      <c r="G43" t="s">
        <v>96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3">
      <c r="A44" t="s">
        <v>72</v>
      </c>
      <c r="B44">
        <v>2025</v>
      </c>
      <c r="C44">
        <v>2</v>
      </c>
      <c r="D44" t="s">
        <v>89</v>
      </c>
      <c r="E44" t="s">
        <v>49</v>
      </c>
      <c r="F44" t="s">
        <v>50</v>
      </c>
      <c r="H44" t="s">
        <v>51</v>
      </c>
      <c r="I44" t="s">
        <v>33</v>
      </c>
      <c r="J44" t="s">
        <v>32</v>
      </c>
      <c r="L44">
        <v>2024</v>
      </c>
      <c r="M44" t="s">
        <v>34</v>
      </c>
      <c r="N44" t="s">
        <v>35</v>
      </c>
      <c r="O44">
        <v>127160</v>
      </c>
      <c r="P44" t="s">
        <v>36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261.7093656822575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0.82286299921168082</v>
      </c>
    </row>
    <row r="45" spans="1:36" x14ac:dyDescent="0.3">
      <c r="A45" t="s">
        <v>72</v>
      </c>
      <c r="B45">
        <v>2025</v>
      </c>
      <c r="C45">
        <v>2</v>
      </c>
      <c r="D45" t="s">
        <v>89</v>
      </c>
      <c r="E45" t="s">
        <v>49</v>
      </c>
      <c r="F45" t="s">
        <v>50</v>
      </c>
      <c r="H45" t="s">
        <v>51</v>
      </c>
      <c r="I45" t="s">
        <v>33</v>
      </c>
      <c r="J45" t="s">
        <v>32</v>
      </c>
      <c r="L45">
        <v>2024</v>
      </c>
      <c r="M45" t="s">
        <v>34</v>
      </c>
      <c r="N45" t="s">
        <v>35</v>
      </c>
      <c r="O45">
        <v>127160</v>
      </c>
      <c r="P45" t="s">
        <v>36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261.7093656822575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1.2024825129564498</v>
      </c>
    </row>
    <row r="46" spans="1:36" x14ac:dyDescent="0.3">
      <c r="A46" t="s">
        <v>72</v>
      </c>
      <c r="B46">
        <v>2025</v>
      </c>
      <c r="C46">
        <v>2</v>
      </c>
      <c r="D46" t="s">
        <v>89</v>
      </c>
      <c r="E46" t="s">
        <v>49</v>
      </c>
      <c r="F46" t="s">
        <v>50</v>
      </c>
      <c r="H46" t="s">
        <v>51</v>
      </c>
      <c r="I46" t="s">
        <v>33</v>
      </c>
      <c r="J46" t="s">
        <v>32</v>
      </c>
      <c r="L46">
        <v>2024</v>
      </c>
      <c r="M46" t="s">
        <v>34</v>
      </c>
      <c r="N46" t="s">
        <v>35</v>
      </c>
      <c r="O46">
        <v>127160</v>
      </c>
      <c r="P46" t="s">
        <v>36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261.7093656822575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0.38540723783884617</v>
      </c>
    </row>
    <row r="47" spans="1:36" x14ac:dyDescent="0.3">
      <c r="A47" t="s">
        <v>72</v>
      </c>
      <c r="B47">
        <v>2025</v>
      </c>
      <c r="C47">
        <v>2</v>
      </c>
      <c r="D47" t="s">
        <v>89</v>
      </c>
      <c r="E47" t="s">
        <v>49</v>
      </c>
      <c r="F47" t="s">
        <v>50</v>
      </c>
      <c r="H47" t="s">
        <v>51</v>
      </c>
      <c r="I47" t="s">
        <v>33</v>
      </c>
      <c r="J47" t="s">
        <v>32</v>
      </c>
      <c r="L47">
        <v>2024</v>
      </c>
      <c r="M47" t="s">
        <v>34</v>
      </c>
      <c r="N47" t="s">
        <v>35</v>
      </c>
      <c r="O47">
        <v>127160</v>
      </c>
      <c r="P47" t="s">
        <v>36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261.7093656822575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4.4705651741259969</v>
      </c>
    </row>
    <row r="48" spans="1:36" x14ac:dyDescent="0.3">
      <c r="A48" t="s">
        <v>72</v>
      </c>
      <c r="B48">
        <v>2025</v>
      </c>
      <c r="C48">
        <v>2</v>
      </c>
      <c r="D48" t="s">
        <v>89</v>
      </c>
      <c r="E48" t="s">
        <v>49</v>
      </c>
      <c r="F48" t="s">
        <v>50</v>
      </c>
      <c r="H48" t="s">
        <v>51</v>
      </c>
      <c r="I48" t="s">
        <v>33</v>
      </c>
      <c r="J48" t="s">
        <v>32</v>
      </c>
      <c r="L48">
        <v>2024</v>
      </c>
      <c r="M48" t="s">
        <v>34</v>
      </c>
      <c r="N48" t="s">
        <v>35</v>
      </c>
      <c r="O48">
        <v>127160</v>
      </c>
      <c r="P48" t="s">
        <v>36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261.7093656822575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6.6201707876910039</v>
      </c>
    </row>
    <row r="49" spans="1:36" x14ac:dyDescent="0.3">
      <c r="A49" t="s">
        <v>72</v>
      </c>
      <c r="B49">
        <v>2025</v>
      </c>
      <c r="C49">
        <v>2</v>
      </c>
      <c r="D49" t="s">
        <v>89</v>
      </c>
      <c r="E49" t="s">
        <v>49</v>
      </c>
      <c r="F49" t="s">
        <v>50</v>
      </c>
      <c r="H49" t="s">
        <v>51</v>
      </c>
      <c r="I49" t="s">
        <v>33</v>
      </c>
      <c r="J49" t="s">
        <v>32</v>
      </c>
      <c r="L49">
        <v>2024</v>
      </c>
      <c r="M49" t="s">
        <v>34</v>
      </c>
      <c r="N49" t="s">
        <v>35</v>
      </c>
      <c r="O49">
        <v>127160</v>
      </c>
      <c r="P49" t="s">
        <v>36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261.7093656822575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6.5647431777141607</v>
      </c>
    </row>
    <row r="50" spans="1:36" x14ac:dyDescent="0.3">
      <c r="A50" t="s">
        <v>72</v>
      </c>
      <c r="B50">
        <v>2025</v>
      </c>
      <c r="C50">
        <v>2</v>
      </c>
      <c r="D50" t="s">
        <v>89</v>
      </c>
      <c r="E50" t="s">
        <v>49</v>
      </c>
      <c r="F50" t="s">
        <v>50</v>
      </c>
      <c r="H50" t="s">
        <v>51</v>
      </c>
      <c r="I50" t="s">
        <v>33</v>
      </c>
      <c r="J50" t="s">
        <v>32</v>
      </c>
      <c r="L50">
        <v>2024</v>
      </c>
      <c r="M50" t="s">
        <v>34</v>
      </c>
      <c r="N50" t="s">
        <v>35</v>
      </c>
      <c r="O50">
        <v>127160</v>
      </c>
      <c r="P50" t="s">
        <v>36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261.7093656822575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9.4837642335205672</v>
      </c>
    </row>
    <row r="51" spans="1:36" x14ac:dyDescent="0.3">
      <c r="A51" t="s">
        <v>72</v>
      </c>
      <c r="B51">
        <v>2025</v>
      </c>
      <c r="C51">
        <v>2</v>
      </c>
      <c r="D51" t="s">
        <v>89</v>
      </c>
      <c r="E51" t="s">
        <v>49</v>
      </c>
      <c r="F51" t="s">
        <v>50</v>
      </c>
      <c r="H51" t="s">
        <v>51</v>
      </c>
      <c r="I51" t="s">
        <v>33</v>
      </c>
      <c r="J51" t="s">
        <v>32</v>
      </c>
      <c r="L51">
        <v>2024</v>
      </c>
      <c r="M51" t="s">
        <v>34</v>
      </c>
      <c r="N51" t="s">
        <v>35</v>
      </c>
      <c r="O51">
        <v>127160</v>
      </c>
      <c r="P51" t="s">
        <v>36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261.7093656822575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3">
      <c r="A52" t="s">
        <v>72</v>
      </c>
      <c r="B52">
        <v>2025</v>
      </c>
      <c r="C52">
        <v>2</v>
      </c>
      <c r="D52" t="s">
        <v>89</v>
      </c>
      <c r="E52" t="s">
        <v>49</v>
      </c>
      <c r="F52" t="s">
        <v>50</v>
      </c>
      <c r="H52" t="s">
        <v>51</v>
      </c>
      <c r="I52" t="s">
        <v>33</v>
      </c>
      <c r="J52" t="s">
        <v>32</v>
      </c>
      <c r="L52">
        <v>2024</v>
      </c>
      <c r="M52" t="s">
        <v>34</v>
      </c>
      <c r="N52" t="s">
        <v>35</v>
      </c>
      <c r="O52">
        <v>127160</v>
      </c>
      <c r="P52" t="s">
        <v>36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261.7093656822575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3">
      <c r="A53" t="s">
        <v>72</v>
      </c>
      <c r="B53">
        <v>2025</v>
      </c>
      <c r="C53">
        <v>2</v>
      </c>
      <c r="D53" t="s">
        <v>89</v>
      </c>
      <c r="E53" t="s">
        <v>49</v>
      </c>
      <c r="F53" t="s">
        <v>50</v>
      </c>
      <c r="H53" t="s">
        <v>51</v>
      </c>
      <c r="I53" t="s">
        <v>33</v>
      </c>
      <c r="J53" t="s">
        <v>32</v>
      </c>
      <c r="L53">
        <v>2024</v>
      </c>
      <c r="M53" t="s">
        <v>34</v>
      </c>
      <c r="N53" t="s">
        <v>35</v>
      </c>
      <c r="O53">
        <v>127160</v>
      </c>
      <c r="P53" t="s">
        <v>36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261.7093656822575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3">
      <c r="A54" t="s">
        <v>72</v>
      </c>
      <c r="B54">
        <v>2025</v>
      </c>
      <c r="C54">
        <v>2</v>
      </c>
      <c r="D54" t="s">
        <v>89</v>
      </c>
      <c r="E54" t="s">
        <v>49</v>
      </c>
      <c r="F54" t="s">
        <v>50</v>
      </c>
      <c r="H54" t="s">
        <v>51</v>
      </c>
      <c r="I54" t="s">
        <v>33</v>
      </c>
      <c r="J54" t="s">
        <v>32</v>
      </c>
      <c r="L54">
        <v>2024</v>
      </c>
      <c r="M54" t="s">
        <v>34</v>
      </c>
      <c r="N54" t="s">
        <v>35</v>
      </c>
      <c r="O54">
        <v>127160</v>
      </c>
      <c r="P54" t="s">
        <v>36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261.7093656822575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3">
      <c r="A55" t="s">
        <v>72</v>
      </c>
      <c r="B55">
        <v>2025</v>
      </c>
      <c r="C55">
        <v>2</v>
      </c>
      <c r="D55" t="s">
        <v>89</v>
      </c>
      <c r="E55" t="s">
        <v>49</v>
      </c>
      <c r="F55" t="s">
        <v>50</v>
      </c>
      <c r="H55" t="s">
        <v>51</v>
      </c>
      <c r="I55" t="s">
        <v>33</v>
      </c>
      <c r="J55" t="s">
        <v>32</v>
      </c>
      <c r="L55">
        <v>2024</v>
      </c>
      <c r="M55" t="s">
        <v>34</v>
      </c>
      <c r="N55" t="s">
        <v>35</v>
      </c>
      <c r="O55">
        <v>127160</v>
      </c>
      <c r="P55" t="s">
        <v>36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261.7093656822575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3">
      <c r="A56" t="s">
        <v>72</v>
      </c>
      <c r="B56">
        <v>2025</v>
      </c>
      <c r="C56">
        <v>2</v>
      </c>
      <c r="D56" t="s">
        <v>89</v>
      </c>
      <c r="E56" t="s">
        <v>49</v>
      </c>
      <c r="F56" t="s">
        <v>50</v>
      </c>
      <c r="H56" t="s">
        <v>51</v>
      </c>
      <c r="I56" t="s">
        <v>33</v>
      </c>
      <c r="J56" t="s">
        <v>32</v>
      </c>
      <c r="L56">
        <v>2024</v>
      </c>
      <c r="M56" t="s">
        <v>34</v>
      </c>
      <c r="N56" t="s">
        <v>35</v>
      </c>
      <c r="O56">
        <v>127160</v>
      </c>
      <c r="P56" t="s">
        <v>36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261.7093656822575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3">
      <c r="A57" t="s">
        <v>72</v>
      </c>
      <c r="B57">
        <v>2025</v>
      </c>
      <c r="C57">
        <v>2</v>
      </c>
      <c r="D57" t="s">
        <v>89</v>
      </c>
      <c r="E57" t="s">
        <v>49</v>
      </c>
      <c r="F57" t="s">
        <v>50</v>
      </c>
      <c r="H57" t="s">
        <v>51</v>
      </c>
      <c r="I57" t="s">
        <v>33</v>
      </c>
      <c r="J57" t="s">
        <v>32</v>
      </c>
      <c r="L57">
        <v>2024</v>
      </c>
      <c r="M57" t="s">
        <v>34</v>
      </c>
      <c r="N57" t="s">
        <v>35</v>
      </c>
      <c r="O57">
        <v>127160</v>
      </c>
      <c r="P57" t="s">
        <v>36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261.7093656822575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3">
      <c r="A58" t="s">
        <v>72</v>
      </c>
      <c r="B58">
        <v>2025</v>
      </c>
      <c r="C58">
        <v>2</v>
      </c>
      <c r="D58" t="s">
        <v>89</v>
      </c>
      <c r="E58" t="s">
        <v>49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39</v>
      </c>
      <c r="V58" t="s">
        <v>40</v>
      </c>
      <c r="W58" t="s">
        <v>41</v>
      </c>
      <c r="X58" t="s">
        <v>43</v>
      </c>
      <c r="Y58" t="s">
        <v>44</v>
      </c>
      <c r="Z58">
        <v>5998.7539999999999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18.861200076294068</v>
      </c>
    </row>
    <row r="59" spans="1:36" x14ac:dyDescent="0.3">
      <c r="A59" t="s">
        <v>72</v>
      </c>
      <c r="B59">
        <v>2025</v>
      </c>
      <c r="C59">
        <v>2</v>
      </c>
      <c r="D59" t="s">
        <v>89</v>
      </c>
      <c r="E59" t="s">
        <v>49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39</v>
      </c>
      <c r="V59" t="s">
        <v>40</v>
      </c>
      <c r="W59" t="s">
        <v>41</v>
      </c>
      <c r="X59" t="s">
        <v>43</v>
      </c>
      <c r="Y59" t="s">
        <v>44</v>
      </c>
      <c r="Z59">
        <v>5998.7539999999999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27.562623774364166</v>
      </c>
    </row>
    <row r="60" spans="1:36" x14ac:dyDescent="0.3">
      <c r="A60" t="s">
        <v>72</v>
      </c>
      <c r="B60">
        <v>2025</v>
      </c>
      <c r="C60">
        <v>2</v>
      </c>
      <c r="D60" t="s">
        <v>89</v>
      </c>
      <c r="E60" t="s">
        <v>49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39</v>
      </c>
      <c r="V60" t="s">
        <v>40</v>
      </c>
      <c r="W60" t="s">
        <v>41</v>
      </c>
      <c r="X60" t="s">
        <v>43</v>
      </c>
      <c r="Y60" t="s">
        <v>44</v>
      </c>
      <c r="Z60">
        <v>5998.7539999999999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8.834086634949454</v>
      </c>
    </row>
    <row r="61" spans="1:36" x14ac:dyDescent="0.3">
      <c r="A61" t="s">
        <v>72</v>
      </c>
      <c r="B61">
        <v>2025</v>
      </c>
      <c r="C61">
        <v>2</v>
      </c>
      <c r="D61" t="s">
        <v>89</v>
      </c>
      <c r="E61" t="s">
        <v>49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39</v>
      </c>
      <c r="V61" t="s">
        <v>40</v>
      </c>
      <c r="W61" t="s">
        <v>41</v>
      </c>
      <c r="X61" t="s">
        <v>43</v>
      </c>
      <c r="Y61" t="s">
        <v>44</v>
      </c>
      <c r="Z61">
        <v>5998.7539999999999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102.47176538996565</v>
      </c>
    </row>
    <row r="62" spans="1:36" x14ac:dyDescent="0.3">
      <c r="A62" t="s">
        <v>72</v>
      </c>
      <c r="B62">
        <v>2025</v>
      </c>
      <c r="C62">
        <v>2</v>
      </c>
      <c r="D62" t="s">
        <v>89</v>
      </c>
      <c r="E62" t="s">
        <v>49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39</v>
      </c>
      <c r="V62" t="s">
        <v>40</v>
      </c>
      <c r="W62" t="s">
        <v>41</v>
      </c>
      <c r="X62" t="s">
        <v>43</v>
      </c>
      <c r="Y62" t="s">
        <v>44</v>
      </c>
      <c r="Z62">
        <v>5998.7539999999999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151.74380897609916</v>
      </c>
    </row>
    <row r="63" spans="1:36" x14ac:dyDescent="0.3">
      <c r="A63" t="s">
        <v>72</v>
      </c>
      <c r="B63">
        <v>2025</v>
      </c>
      <c r="C63">
        <v>2</v>
      </c>
      <c r="D63" t="s">
        <v>89</v>
      </c>
      <c r="E63" t="s">
        <v>49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39</v>
      </c>
      <c r="V63" t="s">
        <v>40</v>
      </c>
      <c r="W63" t="s">
        <v>41</v>
      </c>
      <c r="X63" t="s">
        <v>43</v>
      </c>
      <c r="Y63" t="s">
        <v>44</v>
      </c>
      <c r="Z63">
        <v>5998.7539999999999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150.47332866221268</v>
      </c>
    </row>
    <row r="64" spans="1:36" x14ac:dyDescent="0.3">
      <c r="A64" t="s">
        <v>72</v>
      </c>
      <c r="B64">
        <v>2025</v>
      </c>
      <c r="C64">
        <v>2</v>
      </c>
      <c r="D64" t="s">
        <v>89</v>
      </c>
      <c r="E64" t="s">
        <v>49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39</v>
      </c>
      <c r="V64" t="s">
        <v>40</v>
      </c>
      <c r="W64" t="s">
        <v>41</v>
      </c>
      <c r="X64" t="s">
        <v>43</v>
      </c>
      <c r="Y64" t="s">
        <v>44</v>
      </c>
      <c r="Z64">
        <v>5998.7539999999999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217.38147766541829</v>
      </c>
    </row>
    <row r="65" spans="1:36" x14ac:dyDescent="0.3">
      <c r="A65" t="s">
        <v>72</v>
      </c>
      <c r="B65">
        <v>2025</v>
      </c>
      <c r="C65">
        <v>2</v>
      </c>
      <c r="D65" t="s">
        <v>89</v>
      </c>
      <c r="E65" t="s">
        <v>49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39</v>
      </c>
      <c r="V65" t="s">
        <v>40</v>
      </c>
      <c r="W65" t="s">
        <v>41</v>
      </c>
      <c r="X65" t="s">
        <v>43</v>
      </c>
      <c r="Y65" t="s">
        <v>44</v>
      </c>
      <c r="Z65">
        <v>5998.7539999999999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3">
      <c r="A66" t="s">
        <v>72</v>
      </c>
      <c r="B66">
        <v>2025</v>
      </c>
      <c r="C66">
        <v>2</v>
      </c>
      <c r="D66" t="s">
        <v>89</v>
      </c>
      <c r="E66" t="s">
        <v>49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39</v>
      </c>
      <c r="V66" t="s">
        <v>40</v>
      </c>
      <c r="W66" t="s">
        <v>41</v>
      </c>
      <c r="X66" t="s">
        <v>43</v>
      </c>
      <c r="Y66" t="s">
        <v>44</v>
      </c>
      <c r="Z66">
        <v>5998.7539999999999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3">
      <c r="A67" t="s">
        <v>72</v>
      </c>
      <c r="B67">
        <v>2025</v>
      </c>
      <c r="C67">
        <v>2</v>
      </c>
      <c r="D67" t="s">
        <v>89</v>
      </c>
      <c r="E67" t="s">
        <v>49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39</v>
      </c>
      <c r="V67" t="s">
        <v>40</v>
      </c>
      <c r="W67" t="s">
        <v>41</v>
      </c>
      <c r="X67" t="s">
        <v>43</v>
      </c>
      <c r="Y67" t="s">
        <v>44</v>
      </c>
      <c r="Z67">
        <v>5998.7539999999999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3">
      <c r="A68" t="s">
        <v>72</v>
      </c>
      <c r="B68">
        <v>2025</v>
      </c>
      <c r="C68">
        <v>2</v>
      </c>
      <c r="D68" t="s">
        <v>89</v>
      </c>
      <c r="E68" t="s">
        <v>49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39</v>
      </c>
      <c r="V68" t="s">
        <v>40</v>
      </c>
      <c r="W68" t="s">
        <v>41</v>
      </c>
      <c r="X68" t="s">
        <v>43</v>
      </c>
      <c r="Y68" t="s">
        <v>44</v>
      </c>
      <c r="Z68">
        <v>5998.7539999999999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3">
      <c r="A69" t="s">
        <v>72</v>
      </c>
      <c r="B69">
        <v>2025</v>
      </c>
      <c r="C69">
        <v>2</v>
      </c>
      <c r="D69" t="s">
        <v>89</v>
      </c>
      <c r="E69" t="s">
        <v>49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39</v>
      </c>
      <c r="V69" t="s">
        <v>40</v>
      </c>
      <c r="W69" t="s">
        <v>41</v>
      </c>
      <c r="X69" t="s">
        <v>43</v>
      </c>
      <c r="Y69" t="s">
        <v>44</v>
      </c>
      <c r="Z69">
        <v>5998.7539999999999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3">
      <c r="A70" t="s">
        <v>72</v>
      </c>
      <c r="B70">
        <v>2025</v>
      </c>
      <c r="C70">
        <v>2</v>
      </c>
      <c r="D70" t="s">
        <v>89</v>
      </c>
      <c r="E70" t="s">
        <v>49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39</v>
      </c>
      <c r="V70" t="s">
        <v>40</v>
      </c>
      <c r="W70" t="s">
        <v>41</v>
      </c>
      <c r="X70" t="s">
        <v>43</v>
      </c>
      <c r="Y70" t="s">
        <v>44</v>
      </c>
      <c r="Z70">
        <v>5998.7539999999999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3">
      <c r="A71" t="s">
        <v>72</v>
      </c>
      <c r="B71">
        <v>2025</v>
      </c>
      <c r="C71">
        <v>2</v>
      </c>
      <c r="D71" t="s">
        <v>89</v>
      </c>
      <c r="E71" t="s">
        <v>49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39</v>
      </c>
      <c r="V71" t="s">
        <v>40</v>
      </c>
      <c r="W71" t="s">
        <v>41</v>
      </c>
      <c r="X71" t="s">
        <v>43</v>
      </c>
      <c r="Y71" t="s">
        <v>44</v>
      </c>
      <c r="Z71">
        <v>5998.7539999999999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3">
      <c r="A72" t="s">
        <v>72</v>
      </c>
      <c r="B72">
        <v>2025</v>
      </c>
      <c r="C72">
        <v>2</v>
      </c>
      <c r="D72" t="s">
        <v>89</v>
      </c>
      <c r="E72" t="s">
        <v>49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2</v>
      </c>
      <c r="S72" t="s">
        <v>38</v>
      </c>
      <c r="T72" t="s">
        <v>52</v>
      </c>
      <c r="V72" t="s">
        <v>40</v>
      </c>
      <c r="W72" t="s">
        <v>41</v>
      </c>
      <c r="X72" t="s">
        <v>43</v>
      </c>
      <c r="Y72" t="s">
        <v>44</v>
      </c>
      <c r="Z72">
        <v>103.41227403663601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0.32514745411289447</v>
      </c>
    </row>
    <row r="73" spans="1:36" x14ac:dyDescent="0.3">
      <c r="A73" t="s">
        <v>72</v>
      </c>
      <c r="B73">
        <v>2025</v>
      </c>
      <c r="C73">
        <v>2</v>
      </c>
      <c r="D73" t="s">
        <v>89</v>
      </c>
      <c r="E73" t="s">
        <v>49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2</v>
      </c>
      <c r="S73" t="s">
        <v>38</v>
      </c>
      <c r="T73" t="s">
        <v>52</v>
      </c>
      <c r="V73" t="s">
        <v>40</v>
      </c>
      <c r="W73" t="s">
        <v>41</v>
      </c>
      <c r="X73" t="s">
        <v>43</v>
      </c>
      <c r="Y73" t="s">
        <v>44</v>
      </c>
      <c r="Z73">
        <v>103.41227403663601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0.47515094016578202</v>
      </c>
    </row>
    <row r="74" spans="1:36" x14ac:dyDescent="0.3">
      <c r="A74" t="s">
        <v>72</v>
      </c>
      <c r="B74">
        <v>2025</v>
      </c>
      <c r="C74">
        <v>2</v>
      </c>
      <c r="D74" t="s">
        <v>89</v>
      </c>
      <c r="E74" t="s">
        <v>49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2</v>
      </c>
      <c r="S74" t="s">
        <v>38</v>
      </c>
      <c r="T74" t="s">
        <v>52</v>
      </c>
      <c r="V74" t="s">
        <v>40</v>
      </c>
      <c r="W74" t="s">
        <v>41</v>
      </c>
      <c r="X74" t="s">
        <v>43</v>
      </c>
      <c r="Y74" t="s">
        <v>44</v>
      </c>
      <c r="Z74">
        <v>103.41227403663601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0.15229045697769511</v>
      </c>
    </row>
    <row r="75" spans="1:36" x14ac:dyDescent="0.3">
      <c r="A75" t="s">
        <v>72</v>
      </c>
      <c r="B75">
        <v>2025</v>
      </c>
      <c r="C75">
        <v>2</v>
      </c>
      <c r="D75" t="s">
        <v>89</v>
      </c>
      <c r="E75" t="s">
        <v>49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2</v>
      </c>
      <c r="S75" t="s">
        <v>38</v>
      </c>
      <c r="T75" t="s">
        <v>52</v>
      </c>
      <c r="V75" t="s">
        <v>40</v>
      </c>
      <c r="W75" t="s">
        <v>41</v>
      </c>
      <c r="X75" t="s">
        <v>43</v>
      </c>
      <c r="Y75" t="s">
        <v>44</v>
      </c>
      <c r="Z75">
        <v>103.41227403663601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1.7665065584494717</v>
      </c>
    </row>
    <row r="76" spans="1:36" x14ac:dyDescent="0.3">
      <c r="A76" t="s">
        <v>72</v>
      </c>
      <c r="B76">
        <v>2025</v>
      </c>
      <c r="C76">
        <v>2</v>
      </c>
      <c r="D76" t="s">
        <v>89</v>
      </c>
      <c r="E76" t="s">
        <v>49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2</v>
      </c>
      <c r="S76" t="s">
        <v>38</v>
      </c>
      <c r="T76" t="s">
        <v>52</v>
      </c>
      <c r="V76" t="s">
        <v>40</v>
      </c>
      <c r="W76" t="s">
        <v>41</v>
      </c>
      <c r="X76" t="s">
        <v>43</v>
      </c>
      <c r="Y76" t="s">
        <v>44</v>
      </c>
      <c r="Z76">
        <v>103.41227403663601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2.6159052958663267</v>
      </c>
    </row>
    <row r="77" spans="1:36" x14ac:dyDescent="0.3">
      <c r="A77" t="s">
        <v>72</v>
      </c>
      <c r="B77">
        <v>2025</v>
      </c>
      <c r="C77">
        <v>2</v>
      </c>
      <c r="D77" t="s">
        <v>89</v>
      </c>
      <c r="E77" t="s">
        <v>49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2</v>
      </c>
      <c r="S77" t="s">
        <v>38</v>
      </c>
      <c r="T77" t="s">
        <v>52</v>
      </c>
      <c r="V77" t="s">
        <v>40</v>
      </c>
      <c r="W77" t="s">
        <v>41</v>
      </c>
      <c r="X77" t="s">
        <v>43</v>
      </c>
      <c r="Y77" t="s">
        <v>44</v>
      </c>
      <c r="Z77">
        <v>103.41227403663601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2.59400353787162</v>
      </c>
    </row>
    <row r="78" spans="1:36" x14ac:dyDescent="0.3">
      <c r="A78" t="s">
        <v>72</v>
      </c>
      <c r="B78">
        <v>2025</v>
      </c>
      <c r="C78">
        <v>2</v>
      </c>
      <c r="D78" t="s">
        <v>89</v>
      </c>
      <c r="E78" t="s">
        <v>49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2</v>
      </c>
      <c r="S78" t="s">
        <v>38</v>
      </c>
      <c r="T78" t="s">
        <v>52</v>
      </c>
      <c r="V78" t="s">
        <v>40</v>
      </c>
      <c r="W78" t="s">
        <v>41</v>
      </c>
      <c r="X78" t="s">
        <v>43</v>
      </c>
      <c r="Y78" t="s">
        <v>44</v>
      </c>
      <c r="Z78">
        <v>103.41227403663601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3.7474303728449447</v>
      </c>
    </row>
    <row r="79" spans="1:36" x14ac:dyDescent="0.3">
      <c r="A79" t="s">
        <v>72</v>
      </c>
      <c r="B79">
        <v>2025</v>
      </c>
      <c r="C79">
        <v>2</v>
      </c>
      <c r="D79" t="s">
        <v>89</v>
      </c>
      <c r="E79" t="s">
        <v>49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2</v>
      </c>
      <c r="S79" t="s">
        <v>38</v>
      </c>
      <c r="T79" t="s">
        <v>52</v>
      </c>
      <c r="V79" t="s">
        <v>40</v>
      </c>
      <c r="W79" t="s">
        <v>41</v>
      </c>
      <c r="X79" t="s">
        <v>43</v>
      </c>
      <c r="Y79" t="s">
        <v>44</v>
      </c>
      <c r="Z79">
        <v>103.41227403663601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3">
      <c r="A80" t="s">
        <v>72</v>
      </c>
      <c r="B80">
        <v>2025</v>
      </c>
      <c r="C80">
        <v>2</v>
      </c>
      <c r="D80" t="s">
        <v>89</v>
      </c>
      <c r="E80" t="s">
        <v>49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2</v>
      </c>
      <c r="S80" t="s">
        <v>38</v>
      </c>
      <c r="T80" t="s">
        <v>52</v>
      </c>
      <c r="V80" t="s">
        <v>40</v>
      </c>
      <c r="W80" t="s">
        <v>41</v>
      </c>
      <c r="X80" t="s">
        <v>43</v>
      </c>
      <c r="Y80" t="s">
        <v>44</v>
      </c>
      <c r="Z80">
        <v>103.41227403663601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3">
      <c r="A81" t="s">
        <v>72</v>
      </c>
      <c r="B81">
        <v>2025</v>
      </c>
      <c r="C81">
        <v>2</v>
      </c>
      <c r="D81" t="s">
        <v>89</v>
      </c>
      <c r="E81" t="s">
        <v>49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2</v>
      </c>
      <c r="S81" t="s">
        <v>38</v>
      </c>
      <c r="T81" t="s">
        <v>52</v>
      </c>
      <c r="V81" t="s">
        <v>40</v>
      </c>
      <c r="W81" t="s">
        <v>41</v>
      </c>
      <c r="X81" t="s">
        <v>43</v>
      </c>
      <c r="Y81" t="s">
        <v>44</v>
      </c>
      <c r="Z81">
        <v>103.41227403663601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3">
      <c r="A82" t="s">
        <v>72</v>
      </c>
      <c r="B82">
        <v>2025</v>
      </c>
      <c r="C82">
        <v>2</v>
      </c>
      <c r="D82" t="s">
        <v>89</v>
      </c>
      <c r="E82" t="s">
        <v>49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2</v>
      </c>
      <c r="S82" t="s">
        <v>38</v>
      </c>
      <c r="T82" t="s">
        <v>52</v>
      </c>
      <c r="V82" t="s">
        <v>40</v>
      </c>
      <c r="W82" t="s">
        <v>41</v>
      </c>
      <c r="X82" t="s">
        <v>43</v>
      </c>
      <c r="Y82" t="s">
        <v>44</v>
      </c>
      <c r="Z82">
        <v>103.41227403663601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3">
      <c r="A83" t="s">
        <v>72</v>
      </c>
      <c r="B83">
        <v>2025</v>
      </c>
      <c r="C83">
        <v>2</v>
      </c>
      <c r="D83" t="s">
        <v>89</v>
      </c>
      <c r="E83" t="s">
        <v>49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2</v>
      </c>
      <c r="S83" t="s">
        <v>38</v>
      </c>
      <c r="T83" t="s">
        <v>52</v>
      </c>
      <c r="V83" t="s">
        <v>40</v>
      </c>
      <c r="W83" t="s">
        <v>41</v>
      </c>
      <c r="X83" t="s">
        <v>43</v>
      </c>
      <c r="Y83" t="s">
        <v>44</v>
      </c>
      <c r="Z83">
        <v>103.41227403663601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3">
      <c r="A84" t="s">
        <v>72</v>
      </c>
      <c r="B84">
        <v>2025</v>
      </c>
      <c r="C84">
        <v>2</v>
      </c>
      <c r="D84" t="s">
        <v>89</v>
      </c>
      <c r="E84" t="s">
        <v>49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2</v>
      </c>
      <c r="S84" t="s">
        <v>38</v>
      </c>
      <c r="T84" t="s">
        <v>52</v>
      </c>
      <c r="V84" t="s">
        <v>40</v>
      </c>
      <c r="W84" t="s">
        <v>41</v>
      </c>
      <c r="X84" t="s">
        <v>43</v>
      </c>
      <c r="Y84" t="s">
        <v>44</v>
      </c>
      <c r="Z84">
        <v>103.41227403663601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3">
      <c r="A85" t="s">
        <v>72</v>
      </c>
      <c r="B85">
        <v>2025</v>
      </c>
      <c r="C85">
        <v>2</v>
      </c>
      <c r="D85" t="s">
        <v>89</v>
      </c>
      <c r="E85" t="s">
        <v>49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2</v>
      </c>
      <c r="S85" t="s">
        <v>38</v>
      </c>
      <c r="T85" t="s">
        <v>52</v>
      </c>
      <c r="V85" t="s">
        <v>40</v>
      </c>
      <c r="W85" t="s">
        <v>41</v>
      </c>
      <c r="X85" t="s">
        <v>43</v>
      </c>
      <c r="Y85" t="s">
        <v>44</v>
      </c>
      <c r="Z85">
        <v>103.41227403663601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3">
      <c r="A86" t="s">
        <v>72</v>
      </c>
      <c r="B86">
        <v>2025</v>
      </c>
      <c r="C86">
        <v>2</v>
      </c>
      <c r="D86" t="s">
        <v>89</v>
      </c>
      <c r="E86" t="s">
        <v>49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39</v>
      </c>
      <c r="V86" t="s">
        <v>40</v>
      </c>
      <c r="W86" t="s">
        <v>41</v>
      </c>
      <c r="X86" t="s">
        <v>43</v>
      </c>
      <c r="Y86" t="s">
        <v>44</v>
      </c>
      <c r="Z86">
        <v>909.72997266172501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2.8603605064942368</v>
      </c>
    </row>
    <row r="87" spans="1:36" x14ac:dyDescent="0.3">
      <c r="A87" t="s">
        <v>72</v>
      </c>
      <c r="B87">
        <v>2025</v>
      </c>
      <c r="C87">
        <v>2</v>
      </c>
      <c r="D87" t="s">
        <v>89</v>
      </c>
      <c r="E87" t="s">
        <v>49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39</v>
      </c>
      <c r="V87" t="s">
        <v>40</v>
      </c>
      <c r="W87" t="s">
        <v>41</v>
      </c>
      <c r="X87" t="s">
        <v>43</v>
      </c>
      <c r="Y87" t="s">
        <v>44</v>
      </c>
      <c r="Z87">
        <v>909.72997266172501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4.1799588669143164</v>
      </c>
    </row>
    <row r="88" spans="1:36" x14ac:dyDescent="0.3">
      <c r="A88" t="s">
        <v>72</v>
      </c>
      <c r="B88">
        <v>2025</v>
      </c>
      <c r="C88">
        <v>2</v>
      </c>
      <c r="D88" t="s">
        <v>89</v>
      </c>
      <c r="E88" t="s">
        <v>49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39</v>
      </c>
      <c r="V88" t="s">
        <v>40</v>
      </c>
      <c r="W88" t="s">
        <v>41</v>
      </c>
      <c r="X88" t="s">
        <v>43</v>
      </c>
      <c r="Y88" t="s">
        <v>44</v>
      </c>
      <c r="Z88">
        <v>909.72997266172501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1.3397171134045298</v>
      </c>
    </row>
    <row r="89" spans="1:36" x14ac:dyDescent="0.3">
      <c r="A89" t="s">
        <v>72</v>
      </c>
      <c r="B89">
        <v>2025</v>
      </c>
      <c r="C89">
        <v>2</v>
      </c>
      <c r="D89" t="s">
        <v>89</v>
      </c>
      <c r="E89" t="s">
        <v>49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39</v>
      </c>
      <c r="V89" t="s">
        <v>40</v>
      </c>
      <c r="W89" t="s">
        <v>41</v>
      </c>
      <c r="X89" t="s">
        <v>43</v>
      </c>
      <c r="Y89" t="s">
        <v>44</v>
      </c>
      <c r="Z89">
        <v>909.72997266172501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15.540166562391482</v>
      </c>
    </row>
    <row r="90" spans="1:36" x14ac:dyDescent="0.3">
      <c r="A90" t="s">
        <v>72</v>
      </c>
      <c r="B90">
        <v>2025</v>
      </c>
      <c r="C90">
        <v>2</v>
      </c>
      <c r="D90" t="s">
        <v>89</v>
      </c>
      <c r="E90" t="s">
        <v>49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39</v>
      </c>
      <c r="V90" t="s">
        <v>40</v>
      </c>
      <c r="W90" t="s">
        <v>41</v>
      </c>
      <c r="X90" t="s">
        <v>43</v>
      </c>
      <c r="Y90" t="s">
        <v>44</v>
      </c>
      <c r="Z90">
        <v>909.72997266172501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23.012427446001734</v>
      </c>
    </row>
    <row r="91" spans="1:36" x14ac:dyDescent="0.3">
      <c r="A91" t="s">
        <v>72</v>
      </c>
      <c r="B91">
        <v>2025</v>
      </c>
      <c r="C91">
        <v>2</v>
      </c>
      <c r="D91" t="s">
        <v>89</v>
      </c>
      <c r="E91" t="s">
        <v>49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39</v>
      </c>
      <c r="V91" t="s">
        <v>40</v>
      </c>
      <c r="W91" t="s">
        <v>41</v>
      </c>
      <c r="X91" t="s">
        <v>43</v>
      </c>
      <c r="Y91" t="s">
        <v>44</v>
      </c>
      <c r="Z91">
        <v>909.72997266172501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22.8197550975075</v>
      </c>
    </row>
    <row r="92" spans="1:36" x14ac:dyDescent="0.3">
      <c r="A92" t="s">
        <v>72</v>
      </c>
      <c r="B92">
        <v>2025</v>
      </c>
      <c r="C92">
        <v>2</v>
      </c>
      <c r="D92" t="s">
        <v>89</v>
      </c>
      <c r="E92" t="s">
        <v>49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39</v>
      </c>
      <c r="V92" t="s">
        <v>40</v>
      </c>
      <c r="W92" t="s">
        <v>41</v>
      </c>
      <c r="X92" t="s">
        <v>43</v>
      </c>
      <c r="Y92" t="s">
        <v>44</v>
      </c>
      <c r="Z92">
        <v>909.72997266172501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32.966587016858227</v>
      </c>
    </row>
    <row r="93" spans="1:36" x14ac:dyDescent="0.3">
      <c r="A93" t="s">
        <v>72</v>
      </c>
      <c r="B93">
        <v>2025</v>
      </c>
      <c r="C93">
        <v>2</v>
      </c>
      <c r="D93" t="s">
        <v>89</v>
      </c>
      <c r="E93" t="s">
        <v>49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39</v>
      </c>
      <c r="V93" t="s">
        <v>40</v>
      </c>
      <c r="W93" t="s">
        <v>41</v>
      </c>
      <c r="X93" t="s">
        <v>43</v>
      </c>
      <c r="Y93" t="s">
        <v>44</v>
      </c>
      <c r="Z93">
        <v>909.72997266172501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3">
      <c r="A94" t="s">
        <v>72</v>
      </c>
      <c r="B94">
        <v>2025</v>
      </c>
      <c r="C94">
        <v>2</v>
      </c>
      <c r="D94" t="s">
        <v>89</v>
      </c>
      <c r="E94" t="s">
        <v>49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39</v>
      </c>
      <c r="V94" t="s">
        <v>40</v>
      </c>
      <c r="W94" t="s">
        <v>41</v>
      </c>
      <c r="X94" t="s">
        <v>43</v>
      </c>
      <c r="Y94" t="s">
        <v>44</v>
      </c>
      <c r="Z94">
        <v>909.72997266172501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3">
      <c r="A95" t="s">
        <v>72</v>
      </c>
      <c r="B95">
        <v>2025</v>
      </c>
      <c r="C95">
        <v>2</v>
      </c>
      <c r="D95" t="s">
        <v>89</v>
      </c>
      <c r="E95" t="s">
        <v>49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39</v>
      </c>
      <c r="V95" t="s">
        <v>40</v>
      </c>
      <c r="W95" t="s">
        <v>41</v>
      </c>
      <c r="X95" t="s">
        <v>43</v>
      </c>
      <c r="Y95" t="s">
        <v>44</v>
      </c>
      <c r="Z95">
        <v>909.72997266172501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3">
      <c r="A96" t="s">
        <v>72</v>
      </c>
      <c r="B96">
        <v>2025</v>
      </c>
      <c r="C96">
        <v>2</v>
      </c>
      <c r="D96" t="s">
        <v>89</v>
      </c>
      <c r="E96" t="s">
        <v>49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39</v>
      </c>
      <c r="V96" t="s">
        <v>40</v>
      </c>
      <c r="W96" t="s">
        <v>41</v>
      </c>
      <c r="X96" t="s">
        <v>43</v>
      </c>
      <c r="Y96" t="s">
        <v>44</v>
      </c>
      <c r="Z96">
        <v>909.72997266172501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3">
      <c r="A97" t="s">
        <v>72</v>
      </c>
      <c r="B97">
        <v>2025</v>
      </c>
      <c r="C97">
        <v>2</v>
      </c>
      <c r="D97" t="s">
        <v>89</v>
      </c>
      <c r="E97" t="s">
        <v>49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39</v>
      </c>
      <c r="V97" t="s">
        <v>40</v>
      </c>
      <c r="W97" t="s">
        <v>41</v>
      </c>
      <c r="X97" t="s">
        <v>43</v>
      </c>
      <c r="Y97" t="s">
        <v>44</v>
      </c>
      <c r="Z97">
        <v>909.72997266172501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3">
      <c r="A98" t="s">
        <v>72</v>
      </c>
      <c r="B98">
        <v>2025</v>
      </c>
      <c r="C98">
        <v>2</v>
      </c>
      <c r="D98" t="s">
        <v>89</v>
      </c>
      <c r="E98" t="s">
        <v>49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39</v>
      </c>
      <c r="V98" t="s">
        <v>40</v>
      </c>
      <c r="W98" t="s">
        <v>41</v>
      </c>
      <c r="X98" t="s">
        <v>43</v>
      </c>
      <c r="Y98" t="s">
        <v>44</v>
      </c>
      <c r="Z98">
        <v>909.72997266172501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3">
      <c r="A99" t="s">
        <v>72</v>
      </c>
      <c r="B99">
        <v>2025</v>
      </c>
      <c r="C99">
        <v>2</v>
      </c>
      <c r="D99" t="s">
        <v>89</v>
      </c>
      <c r="E99" t="s">
        <v>49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39</v>
      </c>
      <c r="V99" t="s">
        <v>40</v>
      </c>
      <c r="W99" t="s">
        <v>41</v>
      </c>
      <c r="X99" t="s">
        <v>43</v>
      </c>
      <c r="Y99" t="s">
        <v>44</v>
      </c>
      <c r="Z99">
        <v>909.72997266172501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3">
      <c r="A100" t="s">
        <v>72</v>
      </c>
      <c r="B100">
        <v>2025</v>
      </c>
      <c r="C100">
        <v>2</v>
      </c>
      <c r="D100" t="s">
        <v>89</v>
      </c>
      <c r="E100" t="s">
        <v>49</v>
      </c>
      <c r="F100" t="s">
        <v>78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53</v>
      </c>
      <c r="Q100" t="s">
        <v>37</v>
      </c>
      <c r="R100">
        <v>1</v>
      </c>
      <c r="S100" t="s">
        <v>38</v>
      </c>
      <c r="T100" t="s">
        <v>52</v>
      </c>
      <c r="V100" t="s">
        <v>40</v>
      </c>
      <c r="W100" t="s">
        <v>41</v>
      </c>
      <c r="X100" t="s">
        <v>43</v>
      </c>
      <c r="Y100" t="s">
        <v>44</v>
      </c>
      <c r="Z100">
        <v>10888.5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34.235472404890743</v>
      </c>
    </row>
    <row r="101" spans="1:36" x14ac:dyDescent="0.3">
      <c r="A101" t="s">
        <v>72</v>
      </c>
      <c r="B101">
        <v>2025</v>
      </c>
      <c r="C101">
        <v>2</v>
      </c>
      <c r="D101" t="s">
        <v>89</v>
      </c>
      <c r="E101" t="s">
        <v>49</v>
      </c>
      <c r="F101" t="s">
        <v>78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53</v>
      </c>
      <c r="Q101" t="s">
        <v>37</v>
      </c>
      <c r="R101">
        <v>1</v>
      </c>
      <c r="S101" t="s">
        <v>38</v>
      </c>
      <c r="T101" t="s">
        <v>52</v>
      </c>
      <c r="V101" t="s">
        <v>40</v>
      </c>
      <c r="W101" t="s">
        <v>41</v>
      </c>
      <c r="X101" t="s">
        <v>43</v>
      </c>
      <c r="Y101" t="s">
        <v>44</v>
      </c>
      <c r="Z101">
        <v>10888.5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50.029660987459096</v>
      </c>
    </row>
    <row r="102" spans="1:36" x14ac:dyDescent="0.3">
      <c r="A102" t="s">
        <v>72</v>
      </c>
      <c r="B102">
        <v>2025</v>
      </c>
      <c r="C102">
        <v>2</v>
      </c>
      <c r="D102" t="s">
        <v>89</v>
      </c>
      <c r="E102" t="s">
        <v>49</v>
      </c>
      <c r="F102" t="s">
        <v>78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53</v>
      </c>
      <c r="Q102" t="s">
        <v>37</v>
      </c>
      <c r="R102">
        <v>1</v>
      </c>
      <c r="S102" t="s">
        <v>38</v>
      </c>
      <c r="T102" t="s">
        <v>52</v>
      </c>
      <c r="V102" t="s">
        <v>40</v>
      </c>
      <c r="W102" t="s">
        <v>41</v>
      </c>
      <c r="X102" t="s">
        <v>43</v>
      </c>
      <c r="Y102" t="s">
        <v>44</v>
      </c>
      <c r="Z102">
        <v>10888.5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16.034988653418214</v>
      </c>
    </row>
    <row r="103" spans="1:36" x14ac:dyDescent="0.3">
      <c r="A103" t="s">
        <v>72</v>
      </c>
      <c r="B103">
        <v>2025</v>
      </c>
      <c r="C103">
        <v>2</v>
      </c>
      <c r="D103" t="s">
        <v>89</v>
      </c>
      <c r="E103" t="s">
        <v>49</v>
      </c>
      <c r="F103" t="s">
        <v>78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53</v>
      </c>
      <c r="Q103" t="s">
        <v>37</v>
      </c>
      <c r="R103">
        <v>1</v>
      </c>
      <c r="S103" t="s">
        <v>38</v>
      </c>
      <c r="T103" t="s">
        <v>52</v>
      </c>
      <c r="V103" t="s">
        <v>40</v>
      </c>
      <c r="W103" t="s">
        <v>41</v>
      </c>
      <c r="X103" t="s">
        <v>43</v>
      </c>
      <c r="Y103" t="s">
        <v>44</v>
      </c>
      <c r="Z103">
        <v>10888.5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185.99926208820051</v>
      </c>
    </row>
    <row r="104" spans="1:36" x14ac:dyDescent="0.3">
      <c r="A104" t="s">
        <v>72</v>
      </c>
      <c r="B104">
        <v>2025</v>
      </c>
      <c r="C104">
        <v>2</v>
      </c>
      <c r="D104" t="s">
        <v>89</v>
      </c>
      <c r="E104" t="s">
        <v>49</v>
      </c>
      <c r="F104" t="s">
        <v>78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53</v>
      </c>
      <c r="Q104" t="s">
        <v>37</v>
      </c>
      <c r="R104">
        <v>1</v>
      </c>
      <c r="S104" t="s">
        <v>38</v>
      </c>
      <c r="T104" t="s">
        <v>52</v>
      </c>
      <c r="V104" t="s">
        <v>40</v>
      </c>
      <c r="W104" t="s">
        <v>41</v>
      </c>
      <c r="X104" t="s">
        <v>43</v>
      </c>
      <c r="Y104" t="s">
        <v>44</v>
      </c>
      <c r="Z104">
        <v>10888.5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275.434275857329</v>
      </c>
    </row>
    <row r="105" spans="1:36" x14ac:dyDescent="0.3">
      <c r="A105" t="s">
        <v>72</v>
      </c>
      <c r="B105">
        <v>2025</v>
      </c>
      <c r="C105">
        <v>2</v>
      </c>
      <c r="D105" t="s">
        <v>89</v>
      </c>
      <c r="E105" t="s">
        <v>49</v>
      </c>
      <c r="F105" t="s">
        <v>78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53</v>
      </c>
      <c r="Q105" t="s">
        <v>37</v>
      </c>
      <c r="R105">
        <v>1</v>
      </c>
      <c r="S105" t="s">
        <v>38</v>
      </c>
      <c r="T105" t="s">
        <v>52</v>
      </c>
      <c r="V105" t="s">
        <v>40</v>
      </c>
      <c r="W105" t="s">
        <v>41</v>
      </c>
      <c r="X105" t="s">
        <v>43</v>
      </c>
      <c r="Y105" t="s">
        <v>44</v>
      </c>
      <c r="Z105">
        <v>10888.5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273.12819281112422</v>
      </c>
    </row>
    <row r="106" spans="1:36" x14ac:dyDescent="0.3">
      <c r="A106" t="s">
        <v>72</v>
      </c>
      <c r="B106">
        <v>2025</v>
      </c>
      <c r="C106">
        <v>2</v>
      </c>
      <c r="D106" t="s">
        <v>89</v>
      </c>
      <c r="E106" t="s">
        <v>49</v>
      </c>
      <c r="F106" t="s">
        <v>78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53</v>
      </c>
      <c r="Q106" t="s">
        <v>37</v>
      </c>
      <c r="R106">
        <v>1</v>
      </c>
      <c r="S106" t="s">
        <v>38</v>
      </c>
      <c r="T106" t="s">
        <v>52</v>
      </c>
      <c r="V106" t="s">
        <v>40</v>
      </c>
      <c r="W106" t="s">
        <v>41</v>
      </c>
      <c r="X106" t="s">
        <v>43</v>
      </c>
      <c r="Y106" t="s">
        <v>44</v>
      </c>
      <c r="Z106">
        <v>10888.5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394.5749766634716</v>
      </c>
    </row>
    <row r="107" spans="1:36" x14ac:dyDescent="0.3">
      <c r="A107" t="s">
        <v>72</v>
      </c>
      <c r="B107">
        <v>2025</v>
      </c>
      <c r="C107">
        <v>2</v>
      </c>
      <c r="D107" t="s">
        <v>89</v>
      </c>
      <c r="E107" t="s">
        <v>49</v>
      </c>
      <c r="F107" t="s">
        <v>78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53</v>
      </c>
      <c r="Q107" t="s">
        <v>37</v>
      </c>
      <c r="R107">
        <v>1</v>
      </c>
      <c r="S107" t="s">
        <v>38</v>
      </c>
      <c r="T107" t="s">
        <v>52</v>
      </c>
      <c r="V107" t="s">
        <v>40</v>
      </c>
      <c r="W107" t="s">
        <v>41</v>
      </c>
      <c r="X107" t="s">
        <v>43</v>
      </c>
      <c r="Y107" t="s">
        <v>44</v>
      </c>
      <c r="Z107">
        <v>10888.5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3">
      <c r="A108" t="s">
        <v>72</v>
      </c>
      <c r="B108">
        <v>2025</v>
      </c>
      <c r="C108">
        <v>2</v>
      </c>
      <c r="D108" t="s">
        <v>89</v>
      </c>
      <c r="E108" t="s">
        <v>49</v>
      </c>
      <c r="F108" t="s">
        <v>78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53</v>
      </c>
      <c r="Q108" t="s">
        <v>37</v>
      </c>
      <c r="R108">
        <v>1</v>
      </c>
      <c r="S108" t="s">
        <v>38</v>
      </c>
      <c r="T108" t="s">
        <v>52</v>
      </c>
      <c r="V108" t="s">
        <v>40</v>
      </c>
      <c r="W108" t="s">
        <v>41</v>
      </c>
      <c r="X108" t="s">
        <v>43</v>
      </c>
      <c r="Y108" t="s">
        <v>44</v>
      </c>
      <c r="Z108">
        <v>10888.5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3">
      <c r="A109" t="s">
        <v>72</v>
      </c>
      <c r="B109">
        <v>2025</v>
      </c>
      <c r="C109">
        <v>2</v>
      </c>
      <c r="D109" t="s">
        <v>89</v>
      </c>
      <c r="E109" t="s">
        <v>49</v>
      </c>
      <c r="F109" t="s">
        <v>78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53</v>
      </c>
      <c r="Q109" t="s">
        <v>37</v>
      </c>
      <c r="R109">
        <v>1</v>
      </c>
      <c r="S109" t="s">
        <v>38</v>
      </c>
      <c r="T109" t="s">
        <v>52</v>
      </c>
      <c r="V109" t="s">
        <v>40</v>
      </c>
      <c r="W109" t="s">
        <v>41</v>
      </c>
      <c r="X109" t="s">
        <v>43</v>
      </c>
      <c r="Y109" t="s">
        <v>44</v>
      </c>
      <c r="Z109">
        <v>10888.5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3">
      <c r="A110" t="s">
        <v>72</v>
      </c>
      <c r="B110">
        <v>2025</v>
      </c>
      <c r="C110">
        <v>2</v>
      </c>
      <c r="D110" t="s">
        <v>89</v>
      </c>
      <c r="E110" t="s">
        <v>49</v>
      </c>
      <c r="F110" t="s">
        <v>78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53</v>
      </c>
      <c r="Q110" t="s">
        <v>37</v>
      </c>
      <c r="R110">
        <v>1</v>
      </c>
      <c r="S110" t="s">
        <v>38</v>
      </c>
      <c r="T110" t="s">
        <v>52</v>
      </c>
      <c r="V110" t="s">
        <v>40</v>
      </c>
      <c r="W110" t="s">
        <v>41</v>
      </c>
      <c r="X110" t="s">
        <v>43</v>
      </c>
      <c r="Y110" t="s">
        <v>44</v>
      </c>
      <c r="Z110">
        <v>10888.5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3">
      <c r="A111" t="s">
        <v>72</v>
      </c>
      <c r="B111">
        <v>2025</v>
      </c>
      <c r="C111">
        <v>2</v>
      </c>
      <c r="D111" t="s">
        <v>89</v>
      </c>
      <c r="E111" t="s">
        <v>49</v>
      </c>
      <c r="F111" t="s">
        <v>78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53</v>
      </c>
      <c r="Q111" t="s">
        <v>37</v>
      </c>
      <c r="R111">
        <v>1</v>
      </c>
      <c r="S111" t="s">
        <v>38</v>
      </c>
      <c r="T111" t="s">
        <v>52</v>
      </c>
      <c r="V111" t="s">
        <v>40</v>
      </c>
      <c r="W111" t="s">
        <v>41</v>
      </c>
      <c r="X111" t="s">
        <v>43</v>
      </c>
      <c r="Y111" t="s">
        <v>44</v>
      </c>
      <c r="Z111">
        <v>10888.5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3">
      <c r="A112" t="s">
        <v>72</v>
      </c>
      <c r="B112">
        <v>2025</v>
      </c>
      <c r="C112">
        <v>2</v>
      </c>
      <c r="D112" t="s">
        <v>89</v>
      </c>
      <c r="E112" t="s">
        <v>49</v>
      </c>
      <c r="F112" t="s">
        <v>78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53</v>
      </c>
      <c r="Q112" t="s">
        <v>37</v>
      </c>
      <c r="R112">
        <v>1</v>
      </c>
      <c r="S112" t="s">
        <v>38</v>
      </c>
      <c r="T112" t="s">
        <v>52</v>
      </c>
      <c r="V112" t="s">
        <v>40</v>
      </c>
      <c r="W112" t="s">
        <v>41</v>
      </c>
      <c r="X112" t="s">
        <v>43</v>
      </c>
      <c r="Y112" t="s">
        <v>44</v>
      </c>
      <c r="Z112">
        <v>10888.5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3">
      <c r="A113" t="s">
        <v>72</v>
      </c>
      <c r="B113">
        <v>2025</v>
      </c>
      <c r="C113">
        <v>2</v>
      </c>
      <c r="D113" t="s">
        <v>89</v>
      </c>
      <c r="E113" t="s">
        <v>49</v>
      </c>
      <c r="F113" t="s">
        <v>78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53</v>
      </c>
      <c r="Q113" t="s">
        <v>37</v>
      </c>
      <c r="R113">
        <v>1</v>
      </c>
      <c r="S113" t="s">
        <v>38</v>
      </c>
      <c r="T113" t="s">
        <v>52</v>
      </c>
      <c r="V113" t="s">
        <v>40</v>
      </c>
      <c r="W113" t="s">
        <v>41</v>
      </c>
      <c r="X113" t="s">
        <v>43</v>
      </c>
      <c r="Y113" t="s">
        <v>44</v>
      </c>
      <c r="Z113">
        <v>10888.5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3">
      <c r="A114" t="s">
        <v>72</v>
      </c>
      <c r="B114">
        <v>2025</v>
      </c>
      <c r="C114">
        <v>2</v>
      </c>
      <c r="D114" t="s">
        <v>89</v>
      </c>
      <c r="E114" t="s">
        <v>49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39</v>
      </c>
      <c r="V114" t="s">
        <v>40</v>
      </c>
      <c r="W114" t="s">
        <v>41</v>
      </c>
      <c r="X114" t="s">
        <v>43</v>
      </c>
      <c r="Y114" t="s">
        <v>44</v>
      </c>
      <c r="Z114">
        <v>249986.1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786.00286799432956</v>
      </c>
    </row>
    <row r="115" spans="1:36" x14ac:dyDescent="0.3">
      <c r="A115" t="s">
        <v>72</v>
      </c>
      <c r="B115">
        <v>2025</v>
      </c>
      <c r="C115">
        <v>2</v>
      </c>
      <c r="D115" t="s">
        <v>89</v>
      </c>
      <c r="E115" t="s">
        <v>49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39</v>
      </c>
      <c r="V115" t="s">
        <v>40</v>
      </c>
      <c r="W115" t="s">
        <v>41</v>
      </c>
      <c r="X115" t="s">
        <v>43</v>
      </c>
      <c r="Y115" t="s">
        <v>44</v>
      </c>
      <c r="Z115">
        <v>249986.1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1148.6173333863294</v>
      </c>
    </row>
    <row r="116" spans="1:36" x14ac:dyDescent="0.3">
      <c r="A116" t="s">
        <v>72</v>
      </c>
      <c r="B116">
        <v>2025</v>
      </c>
      <c r="C116">
        <v>2</v>
      </c>
      <c r="D116" t="s">
        <v>89</v>
      </c>
      <c r="E116" t="s">
        <v>49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39</v>
      </c>
      <c r="V116" t="s">
        <v>40</v>
      </c>
      <c r="W116" t="s">
        <v>41</v>
      </c>
      <c r="X116" t="s">
        <v>43</v>
      </c>
      <c r="Y116" t="s">
        <v>44</v>
      </c>
      <c r="Z116">
        <v>249986.1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368.14292850367553</v>
      </c>
    </row>
    <row r="117" spans="1:36" x14ac:dyDescent="0.3">
      <c r="A117" t="s">
        <v>72</v>
      </c>
      <c r="B117">
        <v>2025</v>
      </c>
      <c r="C117">
        <v>2</v>
      </c>
      <c r="D117" t="s">
        <v>89</v>
      </c>
      <c r="E117" t="s">
        <v>49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39</v>
      </c>
      <c r="V117" t="s">
        <v>40</v>
      </c>
      <c r="W117" t="s">
        <v>41</v>
      </c>
      <c r="X117" t="s">
        <v>43</v>
      </c>
      <c r="Y117" t="s">
        <v>44</v>
      </c>
      <c r="Z117">
        <v>249986.1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4270.3062986000914</v>
      </c>
    </row>
    <row r="118" spans="1:36" x14ac:dyDescent="0.3">
      <c r="A118" t="s">
        <v>72</v>
      </c>
      <c r="B118">
        <v>2025</v>
      </c>
      <c r="C118">
        <v>2</v>
      </c>
      <c r="D118" t="s">
        <v>89</v>
      </c>
      <c r="E118" t="s">
        <v>49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39</v>
      </c>
      <c r="V118" t="s">
        <v>40</v>
      </c>
      <c r="W118" t="s">
        <v>41</v>
      </c>
      <c r="X118" t="s">
        <v>43</v>
      </c>
      <c r="Y118" t="s">
        <v>44</v>
      </c>
      <c r="Z118">
        <v>249986.1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6323.6203726773956</v>
      </c>
    </row>
    <row r="119" spans="1:36" x14ac:dyDescent="0.3">
      <c r="A119" t="s">
        <v>72</v>
      </c>
      <c r="B119">
        <v>2025</v>
      </c>
      <c r="C119">
        <v>2</v>
      </c>
      <c r="D119" t="s">
        <v>89</v>
      </c>
      <c r="E119" t="s">
        <v>49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39</v>
      </c>
      <c r="V119" t="s">
        <v>40</v>
      </c>
      <c r="W119" t="s">
        <v>41</v>
      </c>
      <c r="X119" t="s">
        <v>43</v>
      </c>
      <c r="Y119" t="s">
        <v>44</v>
      </c>
      <c r="Z119">
        <v>249986.1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6270.6756413556486</v>
      </c>
    </row>
    <row r="120" spans="1:36" x14ac:dyDescent="0.3">
      <c r="A120" t="s">
        <v>72</v>
      </c>
      <c r="B120">
        <v>2025</v>
      </c>
      <c r="C120">
        <v>2</v>
      </c>
      <c r="D120" t="s">
        <v>89</v>
      </c>
      <c r="E120" t="s">
        <v>49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39</v>
      </c>
      <c r="V120" t="s">
        <v>40</v>
      </c>
      <c r="W120" t="s">
        <v>41</v>
      </c>
      <c r="X120" t="s">
        <v>43</v>
      </c>
      <c r="Y120" t="s">
        <v>44</v>
      </c>
      <c r="Z120">
        <v>249986.1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9058.9392086781718</v>
      </c>
    </row>
    <row r="121" spans="1:36" x14ac:dyDescent="0.3">
      <c r="A121" t="s">
        <v>72</v>
      </c>
      <c r="B121">
        <v>2025</v>
      </c>
      <c r="C121">
        <v>2</v>
      </c>
      <c r="D121" t="s">
        <v>89</v>
      </c>
      <c r="E121" t="s">
        <v>49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39</v>
      </c>
      <c r="V121" t="s">
        <v>40</v>
      </c>
      <c r="W121" t="s">
        <v>41</v>
      </c>
      <c r="X121" t="s">
        <v>43</v>
      </c>
      <c r="Y121" t="s">
        <v>44</v>
      </c>
      <c r="Z121">
        <v>249986.1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3">
      <c r="A122" t="s">
        <v>72</v>
      </c>
      <c r="B122">
        <v>2025</v>
      </c>
      <c r="C122">
        <v>2</v>
      </c>
      <c r="D122" t="s">
        <v>89</v>
      </c>
      <c r="E122" t="s">
        <v>49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39</v>
      </c>
      <c r="V122" t="s">
        <v>40</v>
      </c>
      <c r="W122" t="s">
        <v>41</v>
      </c>
      <c r="X122" t="s">
        <v>43</v>
      </c>
      <c r="Y122" t="s">
        <v>44</v>
      </c>
      <c r="Z122">
        <v>249986.1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3">
      <c r="A123" t="s">
        <v>72</v>
      </c>
      <c r="B123">
        <v>2025</v>
      </c>
      <c r="C123">
        <v>2</v>
      </c>
      <c r="D123" t="s">
        <v>89</v>
      </c>
      <c r="E123" t="s">
        <v>49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39</v>
      </c>
      <c r="V123" t="s">
        <v>40</v>
      </c>
      <c r="W123" t="s">
        <v>41</v>
      </c>
      <c r="X123" t="s">
        <v>43</v>
      </c>
      <c r="Y123" t="s">
        <v>44</v>
      </c>
      <c r="Z123">
        <v>249986.1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3">
      <c r="A124" t="s">
        <v>72</v>
      </c>
      <c r="B124">
        <v>2025</v>
      </c>
      <c r="C124">
        <v>2</v>
      </c>
      <c r="D124" t="s">
        <v>89</v>
      </c>
      <c r="E124" t="s">
        <v>49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39</v>
      </c>
      <c r="V124" t="s">
        <v>40</v>
      </c>
      <c r="W124" t="s">
        <v>41</v>
      </c>
      <c r="X124" t="s">
        <v>43</v>
      </c>
      <c r="Y124" t="s">
        <v>44</v>
      </c>
      <c r="Z124">
        <v>249986.1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3">
      <c r="A125" t="s">
        <v>72</v>
      </c>
      <c r="B125">
        <v>2025</v>
      </c>
      <c r="C125">
        <v>2</v>
      </c>
      <c r="D125" t="s">
        <v>89</v>
      </c>
      <c r="E125" t="s">
        <v>49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39</v>
      </c>
      <c r="V125" t="s">
        <v>40</v>
      </c>
      <c r="W125" t="s">
        <v>41</v>
      </c>
      <c r="X125" t="s">
        <v>43</v>
      </c>
      <c r="Y125" t="s">
        <v>44</v>
      </c>
      <c r="Z125">
        <v>249986.1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3">
      <c r="A126" t="s">
        <v>72</v>
      </c>
      <c r="B126">
        <v>2025</v>
      </c>
      <c r="C126">
        <v>2</v>
      </c>
      <c r="D126" t="s">
        <v>89</v>
      </c>
      <c r="E126" t="s">
        <v>49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39</v>
      </c>
      <c r="V126" t="s">
        <v>40</v>
      </c>
      <c r="W126" t="s">
        <v>41</v>
      </c>
      <c r="X126" t="s">
        <v>43</v>
      </c>
      <c r="Y126" t="s">
        <v>44</v>
      </c>
      <c r="Z126">
        <v>249986.1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3">
      <c r="A127" t="s">
        <v>72</v>
      </c>
      <c r="B127">
        <v>2025</v>
      </c>
      <c r="C127">
        <v>2</v>
      </c>
      <c r="D127" t="s">
        <v>89</v>
      </c>
      <c r="E127" t="s">
        <v>49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39</v>
      </c>
      <c r="V127" t="s">
        <v>40</v>
      </c>
      <c r="W127" t="s">
        <v>41</v>
      </c>
      <c r="X127" t="s">
        <v>43</v>
      </c>
      <c r="Y127" t="s">
        <v>44</v>
      </c>
      <c r="Z127">
        <v>249986.1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3">
      <c r="A128" t="s">
        <v>72</v>
      </c>
      <c r="B128">
        <v>2025</v>
      </c>
      <c r="C128">
        <v>2</v>
      </c>
      <c r="D128" t="s">
        <v>89</v>
      </c>
      <c r="E128" t="s">
        <v>49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2</v>
      </c>
      <c r="S128" t="s">
        <v>38</v>
      </c>
      <c r="T128" t="s">
        <v>52</v>
      </c>
      <c r="V128" t="s">
        <v>40</v>
      </c>
      <c r="W128" t="s">
        <v>41</v>
      </c>
      <c r="X128" t="s">
        <v>43</v>
      </c>
      <c r="Y128" t="s">
        <v>44</v>
      </c>
      <c r="Z128">
        <v>4302.5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13.527861507282216</v>
      </c>
    </row>
    <row r="129" spans="1:36" x14ac:dyDescent="0.3">
      <c r="A129" t="s">
        <v>72</v>
      </c>
      <c r="B129">
        <v>2025</v>
      </c>
      <c r="C129">
        <v>2</v>
      </c>
      <c r="D129" t="s">
        <v>89</v>
      </c>
      <c r="E129" t="s">
        <v>49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2</v>
      </c>
      <c r="S129" t="s">
        <v>38</v>
      </c>
      <c r="T129" t="s">
        <v>52</v>
      </c>
      <c r="V129" t="s">
        <v>40</v>
      </c>
      <c r="W129" t="s">
        <v>41</v>
      </c>
      <c r="X129" t="s">
        <v>43</v>
      </c>
      <c r="Y129" t="s">
        <v>44</v>
      </c>
      <c r="Z129">
        <v>4302.5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19.768803453050719</v>
      </c>
    </row>
    <row r="130" spans="1:36" x14ac:dyDescent="0.3">
      <c r="A130" t="s">
        <v>72</v>
      </c>
      <c r="B130">
        <v>2025</v>
      </c>
      <c r="C130">
        <v>2</v>
      </c>
      <c r="D130" t="s">
        <v>89</v>
      </c>
      <c r="E130" t="s">
        <v>49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2</v>
      </c>
      <c r="S130" t="s">
        <v>38</v>
      </c>
      <c r="T130" t="s">
        <v>52</v>
      </c>
      <c r="V130" t="s">
        <v>40</v>
      </c>
      <c r="W130" t="s">
        <v>41</v>
      </c>
      <c r="X130" t="s">
        <v>43</v>
      </c>
      <c r="Y130" t="s">
        <v>44</v>
      </c>
      <c r="Z130">
        <v>4302.5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6.3360920862682519</v>
      </c>
    </row>
    <row r="131" spans="1:36" x14ac:dyDescent="0.3">
      <c r="A131" t="s">
        <v>72</v>
      </c>
      <c r="B131">
        <v>2025</v>
      </c>
      <c r="C131">
        <v>2</v>
      </c>
      <c r="D131" t="s">
        <v>89</v>
      </c>
      <c r="E131" t="s">
        <v>49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2</v>
      </c>
      <c r="S131" t="s">
        <v>38</v>
      </c>
      <c r="T131" t="s">
        <v>52</v>
      </c>
      <c r="V131" t="s">
        <v>40</v>
      </c>
      <c r="W131" t="s">
        <v>41</v>
      </c>
      <c r="X131" t="s">
        <v>43</v>
      </c>
      <c r="Y131" t="s">
        <v>44</v>
      </c>
      <c r="Z131">
        <v>4302.5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73.496057779720132</v>
      </c>
    </row>
    <row r="132" spans="1:36" x14ac:dyDescent="0.3">
      <c r="A132" t="s">
        <v>72</v>
      </c>
      <c r="B132">
        <v>2025</v>
      </c>
      <c r="C132">
        <v>2</v>
      </c>
      <c r="D132" t="s">
        <v>89</v>
      </c>
      <c r="E132" t="s">
        <v>49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2</v>
      </c>
      <c r="S132" t="s">
        <v>38</v>
      </c>
      <c r="T132" t="s">
        <v>52</v>
      </c>
      <c r="V132" t="s">
        <v>40</v>
      </c>
      <c r="W132" t="s">
        <v>41</v>
      </c>
      <c r="X132" t="s">
        <v>43</v>
      </c>
      <c r="Y132" t="s">
        <v>44</v>
      </c>
      <c r="Z132">
        <v>4302.5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108.8355578707956</v>
      </c>
    </row>
    <row r="133" spans="1:36" x14ac:dyDescent="0.3">
      <c r="A133" t="s">
        <v>72</v>
      </c>
      <c r="B133">
        <v>2025</v>
      </c>
      <c r="C133">
        <v>2</v>
      </c>
      <c r="D133" t="s">
        <v>89</v>
      </c>
      <c r="E133" t="s">
        <v>49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2</v>
      </c>
      <c r="S133" t="s">
        <v>38</v>
      </c>
      <c r="T133" t="s">
        <v>52</v>
      </c>
      <c r="V133" t="s">
        <v>40</v>
      </c>
      <c r="W133" t="s">
        <v>41</v>
      </c>
      <c r="X133" t="s">
        <v>43</v>
      </c>
      <c r="Y133" t="s">
        <v>44</v>
      </c>
      <c r="Z133">
        <v>4302.5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107.92432838038866</v>
      </c>
    </row>
    <row r="134" spans="1:36" x14ac:dyDescent="0.3">
      <c r="A134" t="s">
        <v>72</v>
      </c>
      <c r="B134">
        <v>2025</v>
      </c>
      <c r="C134">
        <v>2</v>
      </c>
      <c r="D134" t="s">
        <v>89</v>
      </c>
      <c r="E134" t="s">
        <v>49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2</v>
      </c>
      <c r="S134" t="s">
        <v>38</v>
      </c>
      <c r="T134" t="s">
        <v>52</v>
      </c>
      <c r="V134" t="s">
        <v>40</v>
      </c>
      <c r="W134" t="s">
        <v>41</v>
      </c>
      <c r="X134" t="s">
        <v>43</v>
      </c>
      <c r="Y134" t="s">
        <v>44</v>
      </c>
      <c r="Z134">
        <v>4302.5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155.91301254484884</v>
      </c>
    </row>
    <row r="135" spans="1:36" x14ac:dyDescent="0.3">
      <c r="A135" t="s">
        <v>72</v>
      </c>
      <c r="B135">
        <v>2025</v>
      </c>
      <c r="C135">
        <v>2</v>
      </c>
      <c r="D135" t="s">
        <v>89</v>
      </c>
      <c r="E135" t="s">
        <v>49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2</v>
      </c>
      <c r="S135" t="s">
        <v>38</v>
      </c>
      <c r="T135" t="s">
        <v>52</v>
      </c>
      <c r="V135" t="s">
        <v>40</v>
      </c>
      <c r="W135" t="s">
        <v>41</v>
      </c>
      <c r="X135" t="s">
        <v>43</v>
      </c>
      <c r="Y135" t="s">
        <v>44</v>
      </c>
      <c r="Z135">
        <v>4302.5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3">
      <c r="A136" t="s">
        <v>72</v>
      </c>
      <c r="B136">
        <v>2025</v>
      </c>
      <c r="C136">
        <v>2</v>
      </c>
      <c r="D136" t="s">
        <v>89</v>
      </c>
      <c r="E136" t="s">
        <v>49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2</v>
      </c>
      <c r="S136" t="s">
        <v>38</v>
      </c>
      <c r="T136" t="s">
        <v>52</v>
      </c>
      <c r="V136" t="s">
        <v>40</v>
      </c>
      <c r="W136" t="s">
        <v>41</v>
      </c>
      <c r="X136" t="s">
        <v>43</v>
      </c>
      <c r="Y136" t="s">
        <v>44</v>
      </c>
      <c r="Z136">
        <v>4302.5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3">
      <c r="A137" t="s">
        <v>72</v>
      </c>
      <c r="B137">
        <v>2025</v>
      </c>
      <c r="C137">
        <v>2</v>
      </c>
      <c r="D137" t="s">
        <v>89</v>
      </c>
      <c r="E137" t="s">
        <v>49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2</v>
      </c>
      <c r="S137" t="s">
        <v>38</v>
      </c>
      <c r="T137" t="s">
        <v>52</v>
      </c>
      <c r="V137" t="s">
        <v>40</v>
      </c>
      <c r="W137" t="s">
        <v>41</v>
      </c>
      <c r="X137" t="s">
        <v>43</v>
      </c>
      <c r="Y137" t="s">
        <v>44</v>
      </c>
      <c r="Z137">
        <v>4302.5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3">
      <c r="A138" t="s">
        <v>72</v>
      </c>
      <c r="B138">
        <v>2025</v>
      </c>
      <c r="C138">
        <v>2</v>
      </c>
      <c r="D138" t="s">
        <v>89</v>
      </c>
      <c r="E138" t="s">
        <v>49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2</v>
      </c>
      <c r="S138" t="s">
        <v>38</v>
      </c>
      <c r="T138" t="s">
        <v>52</v>
      </c>
      <c r="V138" t="s">
        <v>40</v>
      </c>
      <c r="W138" t="s">
        <v>41</v>
      </c>
      <c r="X138" t="s">
        <v>43</v>
      </c>
      <c r="Y138" t="s">
        <v>44</v>
      </c>
      <c r="Z138">
        <v>4302.5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3">
      <c r="A139" t="s">
        <v>72</v>
      </c>
      <c r="B139">
        <v>2025</v>
      </c>
      <c r="C139">
        <v>2</v>
      </c>
      <c r="D139" t="s">
        <v>89</v>
      </c>
      <c r="E139" t="s">
        <v>49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2</v>
      </c>
      <c r="S139" t="s">
        <v>38</v>
      </c>
      <c r="T139" t="s">
        <v>52</v>
      </c>
      <c r="V139" t="s">
        <v>40</v>
      </c>
      <c r="W139" t="s">
        <v>41</v>
      </c>
      <c r="X139" t="s">
        <v>43</v>
      </c>
      <c r="Y139" t="s">
        <v>44</v>
      </c>
      <c r="Z139">
        <v>4302.5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3">
      <c r="A140" t="s">
        <v>72</v>
      </c>
      <c r="B140">
        <v>2025</v>
      </c>
      <c r="C140">
        <v>2</v>
      </c>
      <c r="D140" t="s">
        <v>89</v>
      </c>
      <c r="E140" t="s">
        <v>49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2</v>
      </c>
      <c r="S140" t="s">
        <v>38</v>
      </c>
      <c r="T140" t="s">
        <v>52</v>
      </c>
      <c r="V140" t="s">
        <v>40</v>
      </c>
      <c r="W140" t="s">
        <v>41</v>
      </c>
      <c r="X140" t="s">
        <v>43</v>
      </c>
      <c r="Y140" t="s">
        <v>44</v>
      </c>
      <c r="Z140">
        <v>4302.5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3">
      <c r="A141" t="s">
        <v>72</v>
      </c>
      <c r="B141">
        <v>2025</v>
      </c>
      <c r="C141">
        <v>2</v>
      </c>
      <c r="D141" t="s">
        <v>89</v>
      </c>
      <c r="E141" t="s">
        <v>49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2</v>
      </c>
      <c r="S141" t="s">
        <v>38</v>
      </c>
      <c r="T141" t="s">
        <v>52</v>
      </c>
      <c r="V141" t="s">
        <v>40</v>
      </c>
      <c r="W141" t="s">
        <v>41</v>
      </c>
      <c r="X141" t="s">
        <v>43</v>
      </c>
      <c r="Y141" t="s">
        <v>44</v>
      </c>
      <c r="Z141">
        <v>4302.5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3">
      <c r="A142" t="s">
        <v>72</v>
      </c>
      <c r="B142">
        <v>2025</v>
      </c>
      <c r="C142">
        <v>2</v>
      </c>
      <c r="D142" t="s">
        <v>89</v>
      </c>
      <c r="E142" t="s">
        <v>49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39</v>
      </c>
      <c r="V142" t="s">
        <v>40</v>
      </c>
      <c r="W142" t="s">
        <v>41</v>
      </c>
      <c r="X142" t="s">
        <v>43</v>
      </c>
      <c r="Y142" t="s">
        <v>44</v>
      </c>
      <c r="Z142">
        <v>37849.599999999999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119.00619335410319</v>
      </c>
    </row>
    <row r="143" spans="1:36" x14ac:dyDescent="0.3">
      <c r="A143" t="s">
        <v>72</v>
      </c>
      <c r="B143">
        <v>2025</v>
      </c>
      <c r="C143">
        <v>2</v>
      </c>
      <c r="D143" t="s">
        <v>89</v>
      </c>
      <c r="E143" t="s">
        <v>49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39</v>
      </c>
      <c r="V143" t="s">
        <v>40</v>
      </c>
      <c r="W143" t="s">
        <v>41</v>
      </c>
      <c r="X143" t="s">
        <v>43</v>
      </c>
      <c r="Y143" t="s">
        <v>44</v>
      </c>
      <c r="Z143">
        <v>37849.599999999999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173.90849579932328</v>
      </c>
    </row>
    <row r="144" spans="1:36" x14ac:dyDescent="0.3">
      <c r="A144" t="s">
        <v>72</v>
      </c>
      <c r="B144">
        <v>2025</v>
      </c>
      <c r="C144">
        <v>2</v>
      </c>
      <c r="D144" t="s">
        <v>89</v>
      </c>
      <c r="E144" t="s">
        <v>49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39</v>
      </c>
      <c r="V144" t="s">
        <v>40</v>
      </c>
      <c r="W144" t="s">
        <v>41</v>
      </c>
      <c r="X144" t="s">
        <v>43</v>
      </c>
      <c r="Y144" t="s">
        <v>44</v>
      </c>
      <c r="Z144">
        <v>37849.599999999999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55.739349454600536</v>
      </c>
    </row>
    <row r="145" spans="1:36" x14ac:dyDescent="0.3">
      <c r="A145" t="s">
        <v>72</v>
      </c>
      <c r="B145">
        <v>2025</v>
      </c>
      <c r="C145">
        <v>2</v>
      </c>
      <c r="D145" t="s">
        <v>89</v>
      </c>
      <c r="E145" t="s">
        <v>49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39</v>
      </c>
      <c r="V145" t="s">
        <v>40</v>
      </c>
      <c r="W145" t="s">
        <v>41</v>
      </c>
      <c r="X145" t="s">
        <v>43</v>
      </c>
      <c r="Y145" t="s">
        <v>44</v>
      </c>
      <c r="Z145">
        <v>37849.599999999999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646.55348949199185</v>
      </c>
    </row>
    <row r="146" spans="1:36" x14ac:dyDescent="0.3">
      <c r="A146" t="s">
        <v>72</v>
      </c>
      <c r="B146">
        <v>2025</v>
      </c>
      <c r="C146">
        <v>2</v>
      </c>
      <c r="D146" t="s">
        <v>89</v>
      </c>
      <c r="E146" t="s">
        <v>49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39</v>
      </c>
      <c r="V146" t="s">
        <v>40</v>
      </c>
      <c r="W146" t="s">
        <v>41</v>
      </c>
      <c r="X146" t="s">
        <v>43</v>
      </c>
      <c r="Y146" t="s">
        <v>44</v>
      </c>
      <c r="Z146">
        <v>37849.599999999999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957.43924025251943</v>
      </c>
    </row>
    <row r="147" spans="1:36" x14ac:dyDescent="0.3">
      <c r="A147" t="s">
        <v>72</v>
      </c>
      <c r="B147">
        <v>2025</v>
      </c>
      <c r="C147">
        <v>2</v>
      </c>
      <c r="D147" t="s">
        <v>89</v>
      </c>
      <c r="E147" t="s">
        <v>49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39</v>
      </c>
      <c r="V147" t="s">
        <v>40</v>
      </c>
      <c r="W147" t="s">
        <v>41</v>
      </c>
      <c r="X147" t="s">
        <v>43</v>
      </c>
      <c r="Y147" t="s">
        <v>44</v>
      </c>
      <c r="Z147">
        <v>37849.599999999999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949.42304694162897</v>
      </c>
    </row>
    <row r="148" spans="1:36" x14ac:dyDescent="0.3">
      <c r="A148" t="s">
        <v>72</v>
      </c>
      <c r="B148">
        <v>2025</v>
      </c>
      <c r="C148">
        <v>2</v>
      </c>
      <c r="D148" t="s">
        <v>89</v>
      </c>
      <c r="E148" t="s">
        <v>49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39</v>
      </c>
      <c r="V148" t="s">
        <v>40</v>
      </c>
      <c r="W148" t="s">
        <v>41</v>
      </c>
      <c r="X148" t="s">
        <v>43</v>
      </c>
      <c r="Y148" t="s">
        <v>44</v>
      </c>
      <c r="Z148">
        <v>37849.599999999999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1371.5851620261499</v>
      </c>
    </row>
    <row r="149" spans="1:36" x14ac:dyDescent="0.3">
      <c r="A149" t="s">
        <v>72</v>
      </c>
      <c r="B149">
        <v>2025</v>
      </c>
      <c r="C149">
        <v>2</v>
      </c>
      <c r="D149" t="s">
        <v>89</v>
      </c>
      <c r="E149" t="s">
        <v>49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39</v>
      </c>
      <c r="V149" t="s">
        <v>40</v>
      </c>
      <c r="W149" t="s">
        <v>41</v>
      </c>
      <c r="X149" t="s">
        <v>43</v>
      </c>
      <c r="Y149" t="s">
        <v>44</v>
      </c>
      <c r="Z149">
        <v>37849.599999999999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3">
      <c r="A150" t="s">
        <v>72</v>
      </c>
      <c r="B150">
        <v>2025</v>
      </c>
      <c r="C150">
        <v>2</v>
      </c>
      <c r="D150" t="s">
        <v>89</v>
      </c>
      <c r="E150" t="s">
        <v>49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39</v>
      </c>
      <c r="V150" t="s">
        <v>40</v>
      </c>
      <c r="W150" t="s">
        <v>41</v>
      </c>
      <c r="X150" t="s">
        <v>43</v>
      </c>
      <c r="Y150" t="s">
        <v>44</v>
      </c>
      <c r="Z150">
        <v>37849.599999999999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3">
      <c r="A151" t="s">
        <v>72</v>
      </c>
      <c r="B151">
        <v>2025</v>
      </c>
      <c r="C151">
        <v>2</v>
      </c>
      <c r="D151" t="s">
        <v>89</v>
      </c>
      <c r="E151" t="s">
        <v>49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39</v>
      </c>
      <c r="V151" t="s">
        <v>40</v>
      </c>
      <c r="W151" t="s">
        <v>41</v>
      </c>
      <c r="X151" t="s">
        <v>43</v>
      </c>
      <c r="Y151" t="s">
        <v>44</v>
      </c>
      <c r="Z151">
        <v>37849.599999999999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3">
      <c r="A152" t="s">
        <v>72</v>
      </c>
      <c r="B152">
        <v>2025</v>
      </c>
      <c r="C152">
        <v>2</v>
      </c>
      <c r="D152" t="s">
        <v>89</v>
      </c>
      <c r="E152" t="s">
        <v>49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39</v>
      </c>
      <c r="V152" t="s">
        <v>40</v>
      </c>
      <c r="W152" t="s">
        <v>41</v>
      </c>
      <c r="X152" t="s">
        <v>43</v>
      </c>
      <c r="Y152" t="s">
        <v>44</v>
      </c>
      <c r="Z152">
        <v>37849.599999999999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3">
      <c r="A153" t="s">
        <v>72</v>
      </c>
      <c r="B153">
        <v>2025</v>
      </c>
      <c r="C153">
        <v>2</v>
      </c>
      <c r="D153" t="s">
        <v>89</v>
      </c>
      <c r="E153" t="s">
        <v>49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39</v>
      </c>
      <c r="V153" t="s">
        <v>40</v>
      </c>
      <c r="W153" t="s">
        <v>41</v>
      </c>
      <c r="X153" t="s">
        <v>43</v>
      </c>
      <c r="Y153" t="s">
        <v>44</v>
      </c>
      <c r="Z153">
        <v>37849.599999999999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3">
      <c r="A154" t="s">
        <v>72</v>
      </c>
      <c r="B154">
        <v>2025</v>
      </c>
      <c r="C154">
        <v>2</v>
      </c>
      <c r="D154" t="s">
        <v>89</v>
      </c>
      <c r="E154" t="s">
        <v>49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39</v>
      </c>
      <c r="V154" t="s">
        <v>40</v>
      </c>
      <c r="W154" t="s">
        <v>41</v>
      </c>
      <c r="X154" t="s">
        <v>43</v>
      </c>
      <c r="Y154" t="s">
        <v>44</v>
      </c>
      <c r="Z154">
        <v>37849.599999999999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3">
      <c r="A155" t="s">
        <v>72</v>
      </c>
      <c r="B155">
        <v>2025</v>
      </c>
      <c r="C155">
        <v>2</v>
      </c>
      <c r="D155" t="s">
        <v>89</v>
      </c>
      <c r="E155" t="s">
        <v>49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39</v>
      </c>
      <c r="V155" t="s">
        <v>40</v>
      </c>
      <c r="W155" t="s">
        <v>41</v>
      </c>
      <c r="X155" t="s">
        <v>43</v>
      </c>
      <c r="Y155" t="s">
        <v>44</v>
      </c>
      <c r="Z155">
        <v>37849.599999999999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3">
      <c r="A156" t="s">
        <v>72</v>
      </c>
      <c r="B156">
        <v>2025</v>
      </c>
      <c r="C156">
        <v>2</v>
      </c>
      <c r="D156" t="s">
        <v>89</v>
      </c>
      <c r="E156" t="s">
        <v>49</v>
      </c>
      <c r="F156" t="s">
        <v>79</v>
      </c>
      <c r="H156" t="s">
        <v>51</v>
      </c>
      <c r="I156" t="s">
        <v>84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1</v>
      </c>
      <c r="S156" t="s">
        <v>38</v>
      </c>
      <c r="T156" t="s">
        <v>52</v>
      </c>
      <c r="V156" t="s">
        <v>40</v>
      </c>
      <c r="W156" t="s">
        <v>41</v>
      </c>
      <c r="X156" t="s">
        <v>43</v>
      </c>
      <c r="Y156" t="s">
        <v>44</v>
      </c>
      <c r="Z156">
        <v>5236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0.81120006249362275</v>
      </c>
    </row>
    <row r="157" spans="1:36" x14ac:dyDescent="0.3">
      <c r="A157" t="s">
        <v>72</v>
      </c>
      <c r="B157">
        <v>2025</v>
      </c>
      <c r="C157">
        <v>2</v>
      </c>
      <c r="D157" t="s">
        <v>89</v>
      </c>
      <c r="E157" t="s">
        <v>49</v>
      </c>
      <c r="F157" t="s">
        <v>79</v>
      </c>
      <c r="H157" t="s">
        <v>51</v>
      </c>
      <c r="I157" t="s">
        <v>84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1</v>
      </c>
      <c r="S157" t="s">
        <v>38</v>
      </c>
      <c r="T157" t="s">
        <v>52</v>
      </c>
      <c r="V157" t="s">
        <v>40</v>
      </c>
      <c r="W157" t="s">
        <v>41</v>
      </c>
      <c r="X157" t="s">
        <v>43</v>
      </c>
      <c r="Y157" t="s">
        <v>44</v>
      </c>
      <c r="Z157">
        <v>5236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1.1854389984630065</v>
      </c>
    </row>
    <row r="158" spans="1:36" x14ac:dyDescent="0.3">
      <c r="A158" t="s">
        <v>72</v>
      </c>
      <c r="B158">
        <v>2025</v>
      </c>
      <c r="C158">
        <v>2</v>
      </c>
      <c r="D158" t="s">
        <v>89</v>
      </c>
      <c r="E158" t="s">
        <v>49</v>
      </c>
      <c r="F158" t="s">
        <v>79</v>
      </c>
      <c r="H158" t="s">
        <v>51</v>
      </c>
      <c r="I158" t="s">
        <v>84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1</v>
      </c>
      <c r="S158" t="s">
        <v>38</v>
      </c>
      <c r="T158" t="s">
        <v>52</v>
      </c>
      <c r="V158" t="s">
        <v>40</v>
      </c>
      <c r="W158" t="s">
        <v>41</v>
      </c>
      <c r="X158" t="s">
        <v>43</v>
      </c>
      <c r="Y158" t="s">
        <v>44</v>
      </c>
      <c r="Z158">
        <v>5236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0.37994462713706195</v>
      </c>
    </row>
    <row r="159" spans="1:36" x14ac:dyDescent="0.3">
      <c r="A159" t="s">
        <v>72</v>
      </c>
      <c r="B159">
        <v>2025</v>
      </c>
      <c r="C159">
        <v>2</v>
      </c>
      <c r="D159" t="s">
        <v>89</v>
      </c>
      <c r="E159" t="s">
        <v>49</v>
      </c>
      <c r="F159" t="s">
        <v>79</v>
      </c>
      <c r="H159" t="s">
        <v>51</v>
      </c>
      <c r="I159" t="s">
        <v>84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1</v>
      </c>
      <c r="S159" t="s">
        <v>38</v>
      </c>
      <c r="T159" t="s">
        <v>52</v>
      </c>
      <c r="V159" t="s">
        <v>40</v>
      </c>
      <c r="W159" t="s">
        <v>41</v>
      </c>
      <c r="X159" t="s">
        <v>43</v>
      </c>
      <c r="Y159" t="s">
        <v>44</v>
      </c>
      <c r="Z159">
        <v>5236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4.4072011405387084</v>
      </c>
    </row>
    <row r="160" spans="1:36" x14ac:dyDescent="0.3">
      <c r="A160" t="s">
        <v>72</v>
      </c>
      <c r="B160">
        <v>2025</v>
      </c>
      <c r="C160">
        <v>2</v>
      </c>
      <c r="D160" t="s">
        <v>89</v>
      </c>
      <c r="E160" t="s">
        <v>49</v>
      </c>
      <c r="F160" t="s">
        <v>79</v>
      </c>
      <c r="H160" t="s">
        <v>51</v>
      </c>
      <c r="I160" t="s">
        <v>84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1</v>
      </c>
      <c r="S160" t="s">
        <v>38</v>
      </c>
      <c r="T160" t="s">
        <v>52</v>
      </c>
      <c r="V160" t="s">
        <v>40</v>
      </c>
      <c r="W160" t="s">
        <v>41</v>
      </c>
      <c r="X160" t="s">
        <v>43</v>
      </c>
      <c r="Y160" t="s">
        <v>44</v>
      </c>
      <c r="Z160">
        <v>5236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6.5263390890564237</v>
      </c>
    </row>
    <row r="161" spans="1:36" x14ac:dyDescent="0.3">
      <c r="A161" t="s">
        <v>72</v>
      </c>
      <c r="B161">
        <v>2025</v>
      </c>
      <c r="C161">
        <v>2</v>
      </c>
      <c r="D161" t="s">
        <v>89</v>
      </c>
      <c r="E161" t="s">
        <v>49</v>
      </c>
      <c r="F161" t="s">
        <v>79</v>
      </c>
      <c r="H161" t="s">
        <v>51</v>
      </c>
      <c r="I161" t="s">
        <v>84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1</v>
      </c>
      <c r="S161" t="s">
        <v>38</v>
      </c>
      <c r="T161" t="s">
        <v>52</v>
      </c>
      <c r="V161" t="s">
        <v>40</v>
      </c>
      <c r="W161" t="s">
        <v>41</v>
      </c>
      <c r="X161" t="s">
        <v>43</v>
      </c>
      <c r="Y161" t="s">
        <v>44</v>
      </c>
      <c r="Z161">
        <v>5236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6.4716970882371356</v>
      </c>
    </row>
    <row r="162" spans="1:36" x14ac:dyDescent="0.3">
      <c r="A162" t="s">
        <v>72</v>
      </c>
      <c r="B162">
        <v>2025</v>
      </c>
      <c r="C162">
        <v>2</v>
      </c>
      <c r="D162" t="s">
        <v>89</v>
      </c>
      <c r="E162" t="s">
        <v>49</v>
      </c>
      <c r="F162" t="s">
        <v>79</v>
      </c>
      <c r="H162" t="s">
        <v>51</v>
      </c>
      <c r="I162" t="s">
        <v>84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1</v>
      </c>
      <c r="S162" t="s">
        <v>38</v>
      </c>
      <c r="T162" t="s">
        <v>52</v>
      </c>
      <c r="V162" t="s">
        <v>40</v>
      </c>
      <c r="W162" t="s">
        <v>41</v>
      </c>
      <c r="X162" t="s">
        <v>43</v>
      </c>
      <c r="Y162" t="s">
        <v>44</v>
      </c>
      <c r="Z162">
        <v>5236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9.3493450869427086</v>
      </c>
    </row>
    <row r="163" spans="1:36" x14ac:dyDescent="0.3">
      <c r="A163" t="s">
        <v>72</v>
      </c>
      <c r="B163">
        <v>2025</v>
      </c>
      <c r="C163">
        <v>2</v>
      </c>
      <c r="D163" t="s">
        <v>89</v>
      </c>
      <c r="E163" t="s">
        <v>49</v>
      </c>
      <c r="F163" t="s">
        <v>79</v>
      </c>
      <c r="H163" t="s">
        <v>51</v>
      </c>
      <c r="I163" t="s">
        <v>84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1</v>
      </c>
      <c r="S163" t="s">
        <v>38</v>
      </c>
      <c r="T163" t="s">
        <v>52</v>
      </c>
      <c r="V163" t="s">
        <v>40</v>
      </c>
      <c r="W163" t="s">
        <v>41</v>
      </c>
      <c r="X163" t="s">
        <v>43</v>
      </c>
      <c r="Y163" t="s">
        <v>44</v>
      </c>
      <c r="Z163">
        <v>5236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3">
      <c r="A164" t="s">
        <v>72</v>
      </c>
      <c r="B164">
        <v>2025</v>
      </c>
      <c r="C164">
        <v>2</v>
      </c>
      <c r="D164" t="s">
        <v>89</v>
      </c>
      <c r="E164" t="s">
        <v>49</v>
      </c>
      <c r="F164" t="s">
        <v>79</v>
      </c>
      <c r="H164" t="s">
        <v>51</v>
      </c>
      <c r="I164" t="s">
        <v>84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1</v>
      </c>
      <c r="S164" t="s">
        <v>38</v>
      </c>
      <c r="T164" t="s">
        <v>52</v>
      </c>
      <c r="V164" t="s">
        <v>40</v>
      </c>
      <c r="W164" t="s">
        <v>41</v>
      </c>
      <c r="X164" t="s">
        <v>43</v>
      </c>
      <c r="Y164" t="s">
        <v>44</v>
      </c>
      <c r="Z164">
        <v>5236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3">
      <c r="A165" t="s">
        <v>72</v>
      </c>
      <c r="B165">
        <v>2025</v>
      </c>
      <c r="C165">
        <v>2</v>
      </c>
      <c r="D165" t="s">
        <v>89</v>
      </c>
      <c r="E165" t="s">
        <v>49</v>
      </c>
      <c r="F165" t="s">
        <v>79</v>
      </c>
      <c r="H165" t="s">
        <v>51</v>
      </c>
      <c r="I165" t="s">
        <v>84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1</v>
      </c>
      <c r="S165" t="s">
        <v>38</v>
      </c>
      <c r="T165" t="s">
        <v>52</v>
      </c>
      <c r="V165" t="s">
        <v>40</v>
      </c>
      <c r="W165" t="s">
        <v>41</v>
      </c>
      <c r="X165" t="s">
        <v>43</v>
      </c>
      <c r="Y165" t="s">
        <v>44</v>
      </c>
      <c r="Z165">
        <v>5236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3">
      <c r="A166" t="s">
        <v>72</v>
      </c>
      <c r="B166">
        <v>2025</v>
      </c>
      <c r="C166">
        <v>2</v>
      </c>
      <c r="D166" t="s">
        <v>89</v>
      </c>
      <c r="E166" t="s">
        <v>49</v>
      </c>
      <c r="F166" t="s">
        <v>79</v>
      </c>
      <c r="H166" t="s">
        <v>51</v>
      </c>
      <c r="I166" t="s">
        <v>84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1</v>
      </c>
      <c r="S166" t="s">
        <v>38</v>
      </c>
      <c r="T166" t="s">
        <v>52</v>
      </c>
      <c r="V166" t="s">
        <v>40</v>
      </c>
      <c r="W166" t="s">
        <v>41</v>
      </c>
      <c r="X166" t="s">
        <v>43</v>
      </c>
      <c r="Y166" t="s">
        <v>44</v>
      </c>
      <c r="Z166">
        <v>5236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3">
      <c r="A167" t="s">
        <v>72</v>
      </c>
      <c r="B167">
        <v>2025</v>
      </c>
      <c r="C167">
        <v>2</v>
      </c>
      <c r="D167" t="s">
        <v>89</v>
      </c>
      <c r="E167" t="s">
        <v>49</v>
      </c>
      <c r="F167" t="s">
        <v>79</v>
      </c>
      <c r="H167" t="s">
        <v>51</v>
      </c>
      <c r="I167" t="s">
        <v>84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1</v>
      </c>
      <c r="S167" t="s">
        <v>38</v>
      </c>
      <c r="T167" t="s">
        <v>52</v>
      </c>
      <c r="V167" t="s">
        <v>40</v>
      </c>
      <c r="W167" t="s">
        <v>41</v>
      </c>
      <c r="X167" t="s">
        <v>43</v>
      </c>
      <c r="Y167" t="s">
        <v>44</v>
      </c>
      <c r="Z167">
        <v>5236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3">
      <c r="A168" t="s">
        <v>72</v>
      </c>
      <c r="B168">
        <v>2025</v>
      </c>
      <c r="C168">
        <v>2</v>
      </c>
      <c r="D168" t="s">
        <v>89</v>
      </c>
      <c r="E168" t="s">
        <v>49</v>
      </c>
      <c r="F168" t="s">
        <v>79</v>
      </c>
      <c r="H168" t="s">
        <v>51</v>
      </c>
      <c r="I168" t="s">
        <v>84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1</v>
      </c>
      <c r="S168" t="s">
        <v>38</v>
      </c>
      <c r="T168" t="s">
        <v>52</v>
      </c>
      <c r="V168" t="s">
        <v>40</v>
      </c>
      <c r="W168" t="s">
        <v>41</v>
      </c>
      <c r="X168" t="s">
        <v>43</v>
      </c>
      <c r="Y168" t="s">
        <v>44</v>
      </c>
      <c r="Z168">
        <v>5236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3">
      <c r="A169" t="s">
        <v>72</v>
      </c>
      <c r="B169">
        <v>2025</v>
      </c>
      <c r="C169">
        <v>2</v>
      </c>
      <c r="D169" t="s">
        <v>89</v>
      </c>
      <c r="E169" t="s">
        <v>49</v>
      </c>
      <c r="F169" t="s">
        <v>79</v>
      </c>
      <c r="H169" t="s">
        <v>51</v>
      </c>
      <c r="I169" t="s">
        <v>84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1</v>
      </c>
      <c r="S169" t="s">
        <v>38</v>
      </c>
      <c r="T169" t="s">
        <v>52</v>
      </c>
      <c r="V169" t="s">
        <v>40</v>
      </c>
      <c r="W169" t="s">
        <v>41</v>
      </c>
      <c r="X169" t="s">
        <v>43</v>
      </c>
      <c r="Y169" t="s">
        <v>44</v>
      </c>
      <c r="Z169">
        <v>5236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3">
      <c r="A170" t="s">
        <v>72</v>
      </c>
      <c r="B170">
        <v>2025</v>
      </c>
      <c r="C170">
        <v>2</v>
      </c>
      <c r="D170" t="s">
        <v>89</v>
      </c>
      <c r="E170" t="s">
        <v>49</v>
      </c>
      <c r="F170" t="s">
        <v>50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36</v>
      </c>
      <c r="Q170" t="s">
        <v>47</v>
      </c>
      <c r="R170">
        <v>2024</v>
      </c>
      <c r="S170" t="s">
        <v>38</v>
      </c>
      <c r="T170" t="s">
        <v>39</v>
      </c>
      <c r="V170" t="s">
        <v>40</v>
      </c>
      <c r="W170" t="s">
        <v>41</v>
      </c>
      <c r="X170" t="s">
        <v>43</v>
      </c>
      <c r="Y170" t="s">
        <v>44</v>
      </c>
      <c r="Z170">
        <v>12569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39.519277463109866</v>
      </c>
    </row>
    <row r="171" spans="1:36" x14ac:dyDescent="0.3">
      <c r="A171" t="s">
        <v>72</v>
      </c>
      <c r="B171">
        <v>2025</v>
      </c>
      <c r="C171">
        <v>2</v>
      </c>
      <c r="D171" t="s">
        <v>89</v>
      </c>
      <c r="E171" t="s">
        <v>49</v>
      </c>
      <c r="F171" t="s">
        <v>50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36</v>
      </c>
      <c r="Q171" t="s">
        <v>47</v>
      </c>
      <c r="R171">
        <v>2024</v>
      </c>
      <c r="S171" t="s">
        <v>38</v>
      </c>
      <c r="T171" t="s">
        <v>39</v>
      </c>
      <c r="V171" t="s">
        <v>40</v>
      </c>
      <c r="W171" t="s">
        <v>41</v>
      </c>
      <c r="X171" t="s">
        <v>43</v>
      </c>
      <c r="Y171" t="s">
        <v>44</v>
      </c>
      <c r="Z171">
        <v>12569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57.751096014269493</v>
      </c>
    </row>
    <row r="172" spans="1:36" x14ac:dyDescent="0.3">
      <c r="A172" t="s">
        <v>72</v>
      </c>
      <c r="B172">
        <v>2025</v>
      </c>
      <c r="C172">
        <v>2</v>
      </c>
      <c r="D172" t="s">
        <v>89</v>
      </c>
      <c r="E172" t="s">
        <v>49</v>
      </c>
      <c r="F172" t="s">
        <v>50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36</v>
      </c>
      <c r="Q172" t="s">
        <v>47</v>
      </c>
      <c r="R172">
        <v>2024</v>
      </c>
      <c r="S172" t="s">
        <v>38</v>
      </c>
      <c r="T172" t="s">
        <v>39</v>
      </c>
      <c r="V172" t="s">
        <v>40</v>
      </c>
      <c r="W172" t="s">
        <v>41</v>
      </c>
      <c r="X172" t="s">
        <v>43</v>
      </c>
      <c r="Y172" t="s">
        <v>44</v>
      </c>
      <c r="Z172">
        <v>12569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18.509783017386557</v>
      </c>
    </row>
    <row r="173" spans="1:36" x14ac:dyDescent="0.3">
      <c r="A173" t="s">
        <v>72</v>
      </c>
      <c r="B173">
        <v>2025</v>
      </c>
      <c r="C173">
        <v>2</v>
      </c>
      <c r="D173" t="s">
        <v>89</v>
      </c>
      <c r="E173" t="s">
        <v>49</v>
      </c>
      <c r="F173" t="s">
        <v>50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36</v>
      </c>
      <c r="Q173" t="s">
        <v>47</v>
      </c>
      <c r="R173">
        <v>2024</v>
      </c>
      <c r="S173" t="s">
        <v>38</v>
      </c>
      <c r="T173" t="s">
        <v>39</v>
      </c>
      <c r="V173" t="s">
        <v>40</v>
      </c>
      <c r="W173" t="s">
        <v>41</v>
      </c>
      <c r="X173" t="s">
        <v>43</v>
      </c>
      <c r="Y173" t="s">
        <v>44</v>
      </c>
      <c r="Z173">
        <v>12569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214.70585711407375</v>
      </c>
    </row>
    <row r="174" spans="1:36" x14ac:dyDescent="0.3">
      <c r="A174" t="s">
        <v>72</v>
      </c>
      <c r="B174">
        <v>2025</v>
      </c>
      <c r="C174">
        <v>2</v>
      </c>
      <c r="D174" t="s">
        <v>89</v>
      </c>
      <c r="E174" t="s">
        <v>49</v>
      </c>
      <c r="F174" t="s">
        <v>50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36</v>
      </c>
      <c r="Q174" t="s">
        <v>47</v>
      </c>
      <c r="R174">
        <v>2024</v>
      </c>
      <c r="S174" t="s">
        <v>38</v>
      </c>
      <c r="T174" t="s">
        <v>39</v>
      </c>
      <c r="V174" t="s">
        <v>40</v>
      </c>
      <c r="W174" t="s">
        <v>41</v>
      </c>
      <c r="X174" t="s">
        <v>43</v>
      </c>
      <c r="Y174" t="s">
        <v>44</v>
      </c>
      <c r="Z174">
        <v>12569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317.94401554399303</v>
      </c>
    </row>
    <row r="175" spans="1:36" x14ac:dyDescent="0.3">
      <c r="A175" t="s">
        <v>72</v>
      </c>
      <c r="B175">
        <v>2025</v>
      </c>
      <c r="C175">
        <v>2</v>
      </c>
      <c r="D175" t="s">
        <v>89</v>
      </c>
      <c r="E175" t="s">
        <v>49</v>
      </c>
      <c r="F175" t="s">
        <v>50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36</v>
      </c>
      <c r="Q175" t="s">
        <v>47</v>
      </c>
      <c r="R175">
        <v>2024</v>
      </c>
      <c r="S175" t="s">
        <v>38</v>
      </c>
      <c r="T175" t="s">
        <v>39</v>
      </c>
      <c r="V175" t="s">
        <v>40</v>
      </c>
      <c r="W175" t="s">
        <v>41</v>
      </c>
      <c r="X175" t="s">
        <v>43</v>
      </c>
      <c r="Y175" t="s">
        <v>44</v>
      </c>
      <c r="Z175">
        <v>12569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315.28201822500995</v>
      </c>
    </row>
    <row r="176" spans="1:36" x14ac:dyDescent="0.3">
      <c r="A176" t="s">
        <v>72</v>
      </c>
      <c r="B176">
        <v>2025</v>
      </c>
      <c r="C176">
        <v>2</v>
      </c>
      <c r="D176" t="s">
        <v>89</v>
      </c>
      <c r="E176" t="s">
        <v>49</v>
      </c>
      <c r="F176" t="s">
        <v>50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36</v>
      </c>
      <c r="Q176" t="s">
        <v>47</v>
      </c>
      <c r="R176">
        <v>2024</v>
      </c>
      <c r="S176" t="s">
        <v>38</v>
      </c>
      <c r="T176" t="s">
        <v>39</v>
      </c>
      <c r="V176" t="s">
        <v>40</v>
      </c>
      <c r="W176" t="s">
        <v>41</v>
      </c>
      <c r="X176" t="s">
        <v>43</v>
      </c>
      <c r="Y176" t="s">
        <v>44</v>
      </c>
      <c r="Z176">
        <v>12569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455.4725519293911</v>
      </c>
    </row>
    <row r="177" spans="1:36" x14ac:dyDescent="0.3">
      <c r="A177" t="s">
        <v>72</v>
      </c>
      <c r="B177">
        <v>2025</v>
      </c>
      <c r="C177">
        <v>2</v>
      </c>
      <c r="D177" t="s">
        <v>89</v>
      </c>
      <c r="E177" t="s">
        <v>49</v>
      </c>
      <c r="F177" t="s">
        <v>50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36</v>
      </c>
      <c r="Q177" t="s">
        <v>47</v>
      </c>
      <c r="R177">
        <v>2024</v>
      </c>
      <c r="S177" t="s">
        <v>38</v>
      </c>
      <c r="T177" t="s">
        <v>39</v>
      </c>
      <c r="V177" t="s">
        <v>40</v>
      </c>
      <c r="W177" t="s">
        <v>41</v>
      </c>
      <c r="X177" t="s">
        <v>43</v>
      </c>
      <c r="Y177" t="s">
        <v>44</v>
      </c>
      <c r="Z177">
        <v>12569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3">
      <c r="A178" t="s">
        <v>72</v>
      </c>
      <c r="B178">
        <v>2025</v>
      </c>
      <c r="C178">
        <v>2</v>
      </c>
      <c r="D178" t="s">
        <v>89</v>
      </c>
      <c r="E178" t="s">
        <v>49</v>
      </c>
      <c r="F178" t="s">
        <v>50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36</v>
      </c>
      <c r="Q178" t="s">
        <v>47</v>
      </c>
      <c r="R178">
        <v>2024</v>
      </c>
      <c r="S178" t="s">
        <v>38</v>
      </c>
      <c r="T178" t="s">
        <v>39</v>
      </c>
      <c r="V178" t="s">
        <v>40</v>
      </c>
      <c r="W178" t="s">
        <v>41</v>
      </c>
      <c r="X178" t="s">
        <v>43</v>
      </c>
      <c r="Y178" t="s">
        <v>44</v>
      </c>
      <c r="Z178">
        <v>12569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3">
      <c r="A179" t="s">
        <v>72</v>
      </c>
      <c r="B179">
        <v>2025</v>
      </c>
      <c r="C179">
        <v>2</v>
      </c>
      <c r="D179" t="s">
        <v>89</v>
      </c>
      <c r="E179" t="s">
        <v>49</v>
      </c>
      <c r="F179" t="s">
        <v>50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36</v>
      </c>
      <c r="Q179" t="s">
        <v>47</v>
      </c>
      <c r="R179">
        <v>2024</v>
      </c>
      <c r="S179" t="s">
        <v>38</v>
      </c>
      <c r="T179" t="s">
        <v>39</v>
      </c>
      <c r="V179" t="s">
        <v>40</v>
      </c>
      <c r="W179" t="s">
        <v>41</v>
      </c>
      <c r="X179" t="s">
        <v>43</v>
      </c>
      <c r="Y179" t="s">
        <v>44</v>
      </c>
      <c r="Z179">
        <v>12569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3">
      <c r="A180" t="s">
        <v>72</v>
      </c>
      <c r="B180">
        <v>2025</v>
      </c>
      <c r="C180">
        <v>2</v>
      </c>
      <c r="D180" t="s">
        <v>89</v>
      </c>
      <c r="E180" t="s">
        <v>49</v>
      </c>
      <c r="F180" t="s">
        <v>50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36</v>
      </c>
      <c r="Q180" t="s">
        <v>47</v>
      </c>
      <c r="R180">
        <v>2024</v>
      </c>
      <c r="S180" t="s">
        <v>38</v>
      </c>
      <c r="T180" t="s">
        <v>39</v>
      </c>
      <c r="V180" t="s">
        <v>40</v>
      </c>
      <c r="W180" t="s">
        <v>41</v>
      </c>
      <c r="X180" t="s">
        <v>43</v>
      </c>
      <c r="Y180" t="s">
        <v>44</v>
      </c>
      <c r="Z180">
        <v>12569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3">
      <c r="A181" t="s">
        <v>72</v>
      </c>
      <c r="B181">
        <v>2025</v>
      </c>
      <c r="C181">
        <v>2</v>
      </c>
      <c r="D181" t="s">
        <v>89</v>
      </c>
      <c r="E181" t="s">
        <v>49</v>
      </c>
      <c r="F181" t="s">
        <v>50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36</v>
      </c>
      <c r="Q181" t="s">
        <v>47</v>
      </c>
      <c r="R181">
        <v>2024</v>
      </c>
      <c r="S181" t="s">
        <v>38</v>
      </c>
      <c r="T181" t="s">
        <v>39</v>
      </c>
      <c r="V181" t="s">
        <v>40</v>
      </c>
      <c r="W181" t="s">
        <v>41</v>
      </c>
      <c r="X181" t="s">
        <v>43</v>
      </c>
      <c r="Y181" t="s">
        <v>44</v>
      </c>
      <c r="Z181">
        <v>12569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3">
      <c r="A182" t="s">
        <v>72</v>
      </c>
      <c r="B182">
        <v>2025</v>
      </c>
      <c r="C182">
        <v>2</v>
      </c>
      <c r="D182" t="s">
        <v>89</v>
      </c>
      <c r="E182" t="s">
        <v>49</v>
      </c>
      <c r="F182" t="s">
        <v>50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36</v>
      </c>
      <c r="Q182" t="s">
        <v>47</v>
      </c>
      <c r="R182">
        <v>2024</v>
      </c>
      <c r="S182" t="s">
        <v>38</v>
      </c>
      <c r="T182" t="s">
        <v>39</v>
      </c>
      <c r="V182" t="s">
        <v>40</v>
      </c>
      <c r="W182" t="s">
        <v>41</v>
      </c>
      <c r="X182" t="s">
        <v>43</v>
      </c>
      <c r="Y182" t="s">
        <v>44</v>
      </c>
      <c r="Z182">
        <v>12569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3">
      <c r="A183" t="s">
        <v>72</v>
      </c>
      <c r="B183">
        <v>2025</v>
      </c>
      <c r="C183">
        <v>2</v>
      </c>
      <c r="D183" t="s">
        <v>89</v>
      </c>
      <c r="E183" t="s">
        <v>49</v>
      </c>
      <c r="F183" t="s">
        <v>50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36</v>
      </c>
      <c r="Q183" t="s">
        <v>47</v>
      </c>
      <c r="R183">
        <v>2024</v>
      </c>
      <c r="S183" t="s">
        <v>38</v>
      </c>
      <c r="T183" t="s">
        <v>39</v>
      </c>
      <c r="V183" t="s">
        <v>40</v>
      </c>
      <c r="W183" t="s">
        <v>41</v>
      </c>
      <c r="X183" t="s">
        <v>43</v>
      </c>
      <c r="Y183" t="s">
        <v>44</v>
      </c>
      <c r="Z183">
        <v>12569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3">
      <c r="A184" t="s">
        <v>72</v>
      </c>
      <c r="B184">
        <v>2025</v>
      </c>
      <c r="C184">
        <v>2</v>
      </c>
      <c r="D184" t="s">
        <v>89</v>
      </c>
      <c r="E184" t="s">
        <v>49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37</v>
      </c>
      <c r="R184">
        <v>1</v>
      </c>
      <c r="S184" t="s">
        <v>38</v>
      </c>
      <c r="T184" t="s">
        <v>52</v>
      </c>
      <c r="V184" t="s">
        <v>40</v>
      </c>
      <c r="W184" t="s">
        <v>41</v>
      </c>
      <c r="X184" t="s">
        <v>43</v>
      </c>
      <c r="Y184" t="s">
        <v>44</v>
      </c>
      <c r="Z184">
        <v>258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16.462959407816314</v>
      </c>
    </row>
    <row r="185" spans="1:36" x14ac:dyDescent="0.3">
      <c r="A185" t="s">
        <v>72</v>
      </c>
      <c r="B185">
        <v>2025</v>
      </c>
      <c r="C185">
        <v>2</v>
      </c>
      <c r="D185" t="s">
        <v>89</v>
      </c>
      <c r="E185" t="s">
        <v>49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37</v>
      </c>
      <c r="R185">
        <v>1</v>
      </c>
      <c r="S185" t="s">
        <v>38</v>
      </c>
      <c r="T185" t="s">
        <v>52</v>
      </c>
      <c r="V185" t="s">
        <v>40</v>
      </c>
      <c r="W185" t="s">
        <v>41</v>
      </c>
      <c r="X185" t="s">
        <v>43</v>
      </c>
      <c r="Y185" t="s">
        <v>44</v>
      </c>
      <c r="Z185">
        <v>258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24.05797905407869</v>
      </c>
    </row>
    <row r="186" spans="1:36" x14ac:dyDescent="0.3">
      <c r="A186" t="s">
        <v>72</v>
      </c>
      <c r="B186">
        <v>2025</v>
      </c>
      <c r="C186">
        <v>2</v>
      </c>
      <c r="D186" t="s">
        <v>89</v>
      </c>
      <c r="E186" t="s">
        <v>49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37</v>
      </c>
      <c r="R186">
        <v>1</v>
      </c>
      <c r="S186" t="s">
        <v>38</v>
      </c>
      <c r="T186" t="s">
        <v>52</v>
      </c>
      <c r="V186" t="s">
        <v>40</v>
      </c>
      <c r="W186" t="s">
        <v>41</v>
      </c>
      <c r="X186" t="s">
        <v>43</v>
      </c>
      <c r="Y186" t="s">
        <v>44</v>
      </c>
      <c r="Z186">
        <v>258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7.7108142158513813</v>
      </c>
    </row>
    <row r="187" spans="1:36" x14ac:dyDescent="0.3">
      <c r="A187" t="s">
        <v>72</v>
      </c>
      <c r="B187">
        <v>2025</v>
      </c>
      <c r="C187">
        <v>2</v>
      </c>
      <c r="D187" t="s">
        <v>89</v>
      </c>
      <c r="E187" t="s">
        <v>49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37</v>
      </c>
      <c r="R187">
        <v>1</v>
      </c>
      <c r="S187" t="s">
        <v>38</v>
      </c>
      <c r="T187" t="s">
        <v>52</v>
      </c>
      <c r="V187" t="s">
        <v>40</v>
      </c>
      <c r="W187" t="s">
        <v>41</v>
      </c>
      <c r="X187" t="s">
        <v>43</v>
      </c>
      <c r="Y187" t="s">
        <v>44</v>
      </c>
      <c r="Z187">
        <v>258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89.442268107987118</v>
      </c>
    </row>
    <row r="188" spans="1:36" x14ac:dyDescent="0.3">
      <c r="A188" t="s">
        <v>72</v>
      </c>
      <c r="B188">
        <v>2025</v>
      </c>
      <c r="C188">
        <v>2</v>
      </c>
      <c r="D188" t="s">
        <v>89</v>
      </c>
      <c r="E188" t="s">
        <v>49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37</v>
      </c>
      <c r="R188">
        <v>1</v>
      </c>
      <c r="S188" t="s">
        <v>38</v>
      </c>
      <c r="T188" t="s">
        <v>52</v>
      </c>
      <c r="V188" t="s">
        <v>40</v>
      </c>
      <c r="W188" t="s">
        <v>41</v>
      </c>
      <c r="X188" t="s">
        <v>43</v>
      </c>
      <c r="Y188" t="s">
        <v>44</v>
      </c>
      <c r="Z188">
        <v>258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132.4492692647265</v>
      </c>
    </row>
    <row r="189" spans="1:36" x14ac:dyDescent="0.3">
      <c r="A189" t="s">
        <v>72</v>
      </c>
      <c r="B189">
        <v>2025</v>
      </c>
      <c r="C189">
        <v>2</v>
      </c>
      <c r="D189" t="s">
        <v>89</v>
      </c>
      <c r="E189" t="s">
        <v>49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37</v>
      </c>
      <c r="R189">
        <v>1</v>
      </c>
      <c r="S189" t="s">
        <v>38</v>
      </c>
      <c r="T189" t="s">
        <v>52</v>
      </c>
      <c r="V189" t="s">
        <v>40</v>
      </c>
      <c r="W189" t="s">
        <v>41</v>
      </c>
      <c r="X189" t="s">
        <v>43</v>
      </c>
      <c r="Y189" t="s">
        <v>44</v>
      </c>
      <c r="Z189">
        <v>258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131.34033315507614</v>
      </c>
    </row>
    <row r="190" spans="1:36" x14ac:dyDescent="0.3">
      <c r="A190" t="s">
        <v>72</v>
      </c>
      <c r="B190">
        <v>2025</v>
      </c>
      <c r="C190">
        <v>2</v>
      </c>
      <c r="D190" t="s">
        <v>89</v>
      </c>
      <c r="E190" t="s">
        <v>49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37</v>
      </c>
      <c r="R190">
        <v>1</v>
      </c>
      <c r="S190" t="s">
        <v>38</v>
      </c>
      <c r="T190" t="s">
        <v>52</v>
      </c>
      <c r="V190" t="s">
        <v>40</v>
      </c>
      <c r="W190" t="s">
        <v>41</v>
      </c>
      <c r="X190" t="s">
        <v>43</v>
      </c>
      <c r="Y190" t="s">
        <v>44</v>
      </c>
      <c r="Z190">
        <v>258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189.74097238462022</v>
      </c>
    </row>
    <row r="191" spans="1:36" x14ac:dyDescent="0.3">
      <c r="A191" t="s">
        <v>72</v>
      </c>
      <c r="B191">
        <v>2025</v>
      </c>
      <c r="C191">
        <v>2</v>
      </c>
      <c r="D191" t="s">
        <v>89</v>
      </c>
      <c r="E191" t="s">
        <v>49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37</v>
      </c>
      <c r="R191">
        <v>1</v>
      </c>
      <c r="S191" t="s">
        <v>38</v>
      </c>
      <c r="T191" t="s">
        <v>52</v>
      </c>
      <c r="V191" t="s">
        <v>40</v>
      </c>
      <c r="W191" t="s">
        <v>41</v>
      </c>
      <c r="X191" t="s">
        <v>43</v>
      </c>
      <c r="Y191" t="s">
        <v>44</v>
      </c>
      <c r="Z191">
        <v>258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3">
      <c r="A192" t="s">
        <v>72</v>
      </c>
      <c r="B192">
        <v>2025</v>
      </c>
      <c r="C192">
        <v>2</v>
      </c>
      <c r="D192" t="s">
        <v>89</v>
      </c>
      <c r="E192" t="s">
        <v>49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37</v>
      </c>
      <c r="R192">
        <v>1</v>
      </c>
      <c r="S192" t="s">
        <v>38</v>
      </c>
      <c r="T192" t="s">
        <v>52</v>
      </c>
      <c r="V192" t="s">
        <v>40</v>
      </c>
      <c r="W192" t="s">
        <v>41</v>
      </c>
      <c r="X192" t="s">
        <v>43</v>
      </c>
      <c r="Y192" t="s">
        <v>44</v>
      </c>
      <c r="Z192">
        <v>258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36" x14ac:dyDescent="0.3">
      <c r="A193" t="s">
        <v>72</v>
      </c>
      <c r="B193">
        <v>2025</v>
      </c>
      <c r="C193">
        <v>2</v>
      </c>
      <c r="D193" t="s">
        <v>89</v>
      </c>
      <c r="E193" t="s">
        <v>49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37</v>
      </c>
      <c r="R193">
        <v>1</v>
      </c>
      <c r="S193" t="s">
        <v>38</v>
      </c>
      <c r="T193" t="s">
        <v>52</v>
      </c>
      <c r="V193" t="s">
        <v>40</v>
      </c>
      <c r="W193" t="s">
        <v>41</v>
      </c>
      <c r="X193" t="s">
        <v>43</v>
      </c>
      <c r="Y193" t="s">
        <v>44</v>
      </c>
      <c r="Z193">
        <v>258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36" x14ac:dyDescent="0.3">
      <c r="A194" t="s">
        <v>72</v>
      </c>
      <c r="B194">
        <v>2025</v>
      </c>
      <c r="C194">
        <v>2</v>
      </c>
      <c r="D194" t="s">
        <v>89</v>
      </c>
      <c r="E194" t="s">
        <v>49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37</v>
      </c>
      <c r="R194">
        <v>1</v>
      </c>
      <c r="S194" t="s">
        <v>38</v>
      </c>
      <c r="T194" t="s">
        <v>52</v>
      </c>
      <c r="V194" t="s">
        <v>40</v>
      </c>
      <c r="W194" t="s">
        <v>41</v>
      </c>
      <c r="X194" t="s">
        <v>43</v>
      </c>
      <c r="Y194" t="s">
        <v>44</v>
      </c>
      <c r="Z194">
        <v>258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36" x14ac:dyDescent="0.3">
      <c r="A195" t="s">
        <v>72</v>
      </c>
      <c r="B195">
        <v>2025</v>
      </c>
      <c r="C195">
        <v>2</v>
      </c>
      <c r="D195" t="s">
        <v>89</v>
      </c>
      <c r="E195" t="s">
        <v>49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37</v>
      </c>
      <c r="R195">
        <v>1</v>
      </c>
      <c r="S195" t="s">
        <v>38</v>
      </c>
      <c r="T195" t="s">
        <v>52</v>
      </c>
      <c r="V195" t="s">
        <v>40</v>
      </c>
      <c r="W195" t="s">
        <v>41</v>
      </c>
      <c r="X195" t="s">
        <v>43</v>
      </c>
      <c r="Y195" t="s">
        <v>44</v>
      </c>
      <c r="Z195">
        <v>258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36" x14ac:dyDescent="0.3">
      <c r="A196" t="s">
        <v>72</v>
      </c>
      <c r="B196">
        <v>2025</v>
      </c>
      <c r="C196">
        <v>2</v>
      </c>
      <c r="D196" t="s">
        <v>89</v>
      </c>
      <c r="E196" t="s">
        <v>49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37</v>
      </c>
      <c r="R196">
        <v>1</v>
      </c>
      <c r="S196" t="s">
        <v>38</v>
      </c>
      <c r="T196" t="s">
        <v>52</v>
      </c>
      <c r="V196" t="s">
        <v>40</v>
      </c>
      <c r="W196" t="s">
        <v>41</v>
      </c>
      <c r="X196" t="s">
        <v>43</v>
      </c>
      <c r="Y196" t="s">
        <v>44</v>
      </c>
      <c r="Z196">
        <v>258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36" x14ac:dyDescent="0.3">
      <c r="A197" t="s">
        <v>72</v>
      </c>
      <c r="B197">
        <v>2025</v>
      </c>
      <c r="C197">
        <v>2</v>
      </c>
      <c r="D197" t="s">
        <v>89</v>
      </c>
      <c r="E197" t="s">
        <v>49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37</v>
      </c>
      <c r="R197">
        <v>1</v>
      </c>
      <c r="S197" t="s">
        <v>38</v>
      </c>
      <c r="T197" t="s">
        <v>52</v>
      </c>
      <c r="V197" t="s">
        <v>40</v>
      </c>
      <c r="W197" t="s">
        <v>41</v>
      </c>
      <c r="X197" t="s">
        <v>43</v>
      </c>
      <c r="Y197" t="s">
        <v>44</v>
      </c>
      <c r="Z197">
        <v>258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9" spans="1:36" s="2" customFormat="1" x14ac:dyDescent="0.3">
      <c r="A199" s="6" t="s">
        <v>0</v>
      </c>
      <c r="B199" s="6" t="s">
        <v>8</v>
      </c>
      <c r="C199" s="6" t="s">
        <v>1</v>
      </c>
      <c r="D199" s="6" t="s">
        <v>2</v>
      </c>
      <c r="E199" s="6" t="s">
        <v>61</v>
      </c>
      <c r="F199" s="6" t="s">
        <v>62</v>
      </c>
      <c r="G199" s="6" t="s">
        <v>63</v>
      </c>
      <c r="H199" s="6" t="s">
        <v>11</v>
      </c>
      <c r="I199" s="6" t="s">
        <v>12</v>
      </c>
      <c r="J199" s="6" t="s">
        <v>56</v>
      </c>
      <c r="K199" s="6" t="s">
        <v>55</v>
      </c>
      <c r="L199" s="6" t="s">
        <v>29</v>
      </c>
    </row>
    <row r="200" spans="1:36" s="5" customFormat="1" x14ac:dyDescent="0.3">
      <c r="A200" t="s">
        <v>80</v>
      </c>
      <c r="B200">
        <v>2025</v>
      </c>
      <c r="C200">
        <v>2</v>
      </c>
      <c r="D200" t="s">
        <v>89</v>
      </c>
      <c r="E200" t="s">
        <v>49</v>
      </c>
      <c r="F200" t="s">
        <v>50</v>
      </c>
      <c r="G200" t="s">
        <v>34</v>
      </c>
      <c r="H200" t="s">
        <v>35</v>
      </c>
      <c r="I200">
        <v>127160</v>
      </c>
      <c r="J200" t="s">
        <v>60</v>
      </c>
      <c r="K200" t="s">
        <v>73</v>
      </c>
    </row>
    <row r="201" spans="1:36" s="5" customFormat="1" x14ac:dyDescent="0.3">
      <c r="A201" t="s">
        <v>80</v>
      </c>
      <c r="B201">
        <v>2025</v>
      </c>
      <c r="C201">
        <v>2</v>
      </c>
      <c r="D201" t="s">
        <v>89</v>
      </c>
      <c r="E201" t="s">
        <v>49</v>
      </c>
      <c r="F201" t="s">
        <v>78</v>
      </c>
      <c r="G201" t="s">
        <v>34</v>
      </c>
      <c r="H201" t="s">
        <v>35</v>
      </c>
      <c r="I201">
        <v>127160</v>
      </c>
      <c r="J201" t="s">
        <v>60</v>
      </c>
      <c r="K201" t="s">
        <v>73</v>
      </c>
    </row>
    <row r="202" spans="1:36" x14ac:dyDescent="0.3">
      <c r="A202" t="s">
        <v>80</v>
      </c>
      <c r="B202">
        <v>2025</v>
      </c>
      <c r="C202">
        <v>2</v>
      </c>
      <c r="D202" t="s">
        <v>89</v>
      </c>
      <c r="E202" t="s">
        <v>49</v>
      </c>
      <c r="F202" t="s">
        <v>79</v>
      </c>
      <c r="G202" t="s">
        <v>34</v>
      </c>
      <c r="H202" t="s">
        <v>35</v>
      </c>
      <c r="I202">
        <v>127160</v>
      </c>
      <c r="J202" t="s">
        <v>60</v>
      </c>
      <c r="K202" t="s">
        <v>73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1DDA-8AB8-493D-BEC5-C60E41AE284D}">
  <sheetPr>
    <tabColor rgb="FFFFFF00"/>
  </sheetPr>
  <dimension ref="A1:AE21"/>
  <sheetViews>
    <sheetView zoomScale="70" zoomScaleNormal="70" workbookViewId="0">
      <selection activeCell="AA28" sqref="AA28"/>
    </sheetView>
  </sheetViews>
  <sheetFormatPr defaultRowHeight="14.4" x14ac:dyDescent="0.3"/>
  <cols>
    <col min="1" max="1" width="16.5546875" customWidth="1"/>
    <col min="2" max="2" width="30.88671875" customWidth="1"/>
    <col min="3" max="3" width="11" customWidth="1"/>
    <col min="4" max="4" width="34.6640625" customWidth="1"/>
    <col min="5" max="5" width="38.5546875" customWidth="1"/>
    <col min="6" max="6" width="41.44140625" bestFit="1" customWidth="1"/>
    <col min="7" max="7" width="44.44140625" customWidth="1"/>
    <col min="8" max="9" width="22.33203125" bestFit="1" customWidth="1"/>
    <col min="10" max="10" width="31.88671875" customWidth="1"/>
    <col min="11" max="12" width="22.33203125" customWidth="1"/>
    <col min="13" max="13" width="18.33203125" customWidth="1"/>
    <col min="14" max="14" width="18.44140625" customWidth="1"/>
    <col min="15" max="15" width="13.33203125" customWidth="1"/>
    <col min="16" max="16" width="12.44140625" customWidth="1"/>
    <col min="17" max="18" width="14" bestFit="1" customWidth="1"/>
    <col min="19" max="19" width="18.33203125" customWidth="1"/>
    <col min="20" max="20" width="12.33203125" bestFit="1" customWidth="1"/>
    <col min="21" max="21" width="31" bestFit="1" customWidth="1"/>
    <col min="22" max="22" width="24.109375" bestFit="1" customWidth="1"/>
    <col min="23" max="23" width="26.44140625" bestFit="1" customWidth="1"/>
    <col min="24" max="25" width="39.6640625" bestFit="1" customWidth="1"/>
    <col min="26" max="26" width="39.6640625" customWidth="1"/>
    <col min="27" max="27" width="40.6640625" customWidth="1"/>
    <col min="28" max="28" width="37.33203125" customWidth="1"/>
    <col min="29" max="29" width="15.6640625" customWidth="1"/>
    <col min="30" max="30" width="17" customWidth="1"/>
    <col min="31" max="31" width="21.6640625" customWidth="1"/>
    <col min="32" max="32" width="12.6640625" bestFit="1" customWidth="1"/>
    <col min="33" max="33" width="9.5546875" bestFit="1" customWidth="1"/>
    <col min="34" max="34" width="14.109375" customWidth="1"/>
    <col min="35" max="35" width="23.109375" bestFit="1" customWidth="1"/>
    <col min="36" max="36" width="24.5546875" bestFit="1" customWidth="1"/>
    <col min="37" max="37" width="27.44140625" customWidth="1"/>
    <col min="38" max="38" width="21.88671875" customWidth="1"/>
    <col min="39" max="39" width="23" customWidth="1"/>
    <col min="40" max="40" width="12.6640625" bestFit="1" customWidth="1"/>
    <col min="41" max="41" width="11.44140625" customWidth="1"/>
  </cols>
  <sheetData>
    <row r="1" spans="1:31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98</v>
      </c>
      <c r="G1" s="1" t="s">
        <v>99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 t="s">
        <v>30</v>
      </c>
      <c r="B2">
        <v>2025</v>
      </c>
      <c r="C2">
        <v>3</v>
      </c>
      <c r="D2" t="s">
        <v>91</v>
      </c>
      <c r="G2" t="s">
        <v>50</v>
      </c>
      <c r="H2" t="s">
        <v>32</v>
      </c>
      <c r="I2" t="s">
        <v>33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37</v>
      </c>
      <c r="R2">
        <v>1</v>
      </c>
      <c r="S2" t="s">
        <v>38</v>
      </c>
      <c r="T2" t="s">
        <v>39</v>
      </c>
      <c r="V2" t="s">
        <v>40</v>
      </c>
      <c r="W2" t="s">
        <v>41</v>
      </c>
      <c r="X2" t="s">
        <v>43</v>
      </c>
      <c r="Y2" t="s">
        <v>44</v>
      </c>
      <c r="Z2">
        <v>5998.7539999999999</v>
      </c>
      <c r="AB2" t="s">
        <v>45</v>
      </c>
      <c r="AC2">
        <v>2</v>
      </c>
      <c r="AD2">
        <v>2</v>
      </c>
    </row>
    <row r="3" spans="1:31" x14ac:dyDescent="0.3">
      <c r="A3" t="s">
        <v>30</v>
      </c>
      <c r="B3">
        <v>2025</v>
      </c>
      <c r="C3">
        <v>3</v>
      </c>
      <c r="D3" t="s">
        <v>91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B3" t="s">
        <v>45</v>
      </c>
      <c r="AC3">
        <v>8</v>
      </c>
      <c r="AD3">
        <v>8</v>
      </c>
    </row>
    <row r="4" spans="1:31" x14ac:dyDescent="0.3">
      <c r="A4" t="s">
        <v>30</v>
      </c>
      <c r="B4">
        <v>2025</v>
      </c>
      <c r="C4">
        <v>3</v>
      </c>
      <c r="D4" t="s">
        <v>91</v>
      </c>
      <c r="G4" t="s">
        <v>78</v>
      </c>
      <c r="H4" t="s">
        <v>32</v>
      </c>
      <c r="I4" t="s">
        <v>84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39</v>
      </c>
      <c r="V4" t="s">
        <v>40</v>
      </c>
      <c r="W4" t="s">
        <v>41</v>
      </c>
      <c r="X4" t="s">
        <v>43</v>
      </c>
      <c r="Y4" t="s">
        <v>44</v>
      </c>
      <c r="Z4">
        <v>12569</v>
      </c>
      <c r="AB4" t="s">
        <v>45</v>
      </c>
      <c r="AC4">
        <v>12</v>
      </c>
      <c r="AD4">
        <v>12</v>
      </c>
    </row>
    <row r="5" spans="1:31" x14ac:dyDescent="0.3">
      <c r="A5" t="s">
        <v>30</v>
      </c>
      <c r="B5">
        <v>2025</v>
      </c>
      <c r="C5">
        <v>3</v>
      </c>
      <c r="D5" t="s">
        <v>91</v>
      </c>
      <c r="E5" t="s">
        <v>49</v>
      </c>
      <c r="F5" t="s">
        <v>78</v>
      </c>
      <c r="H5" t="s">
        <v>51</v>
      </c>
      <c r="I5" t="s">
        <v>84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37</v>
      </c>
      <c r="R5">
        <v>1</v>
      </c>
      <c r="S5" t="s">
        <v>38</v>
      </c>
      <c r="T5" t="s">
        <v>52</v>
      </c>
      <c r="V5" t="s">
        <v>40</v>
      </c>
      <c r="W5" t="s">
        <v>41</v>
      </c>
      <c r="X5" t="s">
        <v>43</v>
      </c>
      <c r="Y5" t="s">
        <v>44</v>
      </c>
      <c r="Z5">
        <v>258</v>
      </c>
    </row>
    <row r="6" spans="1:31" x14ac:dyDescent="0.3">
      <c r="A6" t="s">
        <v>30</v>
      </c>
      <c r="B6">
        <v>2025</v>
      </c>
      <c r="C6">
        <v>3</v>
      </c>
      <c r="D6" t="s">
        <v>91</v>
      </c>
      <c r="G6" t="s">
        <v>50</v>
      </c>
      <c r="H6" t="s">
        <v>32</v>
      </c>
      <c r="I6" t="s">
        <v>33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53</v>
      </c>
      <c r="Q6" t="s">
        <v>37</v>
      </c>
      <c r="R6">
        <v>1</v>
      </c>
      <c r="S6" t="s">
        <v>38</v>
      </c>
      <c r="T6" t="s">
        <v>39</v>
      </c>
      <c r="V6" t="s">
        <v>40</v>
      </c>
      <c r="W6" t="s">
        <v>41</v>
      </c>
      <c r="X6" t="s">
        <v>43</v>
      </c>
      <c r="Y6" t="s">
        <v>44</v>
      </c>
      <c r="Z6">
        <v>249986.1</v>
      </c>
    </row>
    <row r="7" spans="1:31" x14ac:dyDescent="0.3">
      <c r="A7" t="s">
        <v>30</v>
      </c>
      <c r="B7">
        <v>2025</v>
      </c>
      <c r="C7">
        <v>3</v>
      </c>
      <c r="D7" t="s">
        <v>91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53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672669</v>
      </c>
    </row>
    <row r="8" spans="1:31" x14ac:dyDescent="0.3">
      <c r="A8" t="s">
        <v>30</v>
      </c>
      <c r="B8">
        <v>2025</v>
      </c>
      <c r="C8">
        <v>3</v>
      </c>
      <c r="D8" t="s">
        <v>91</v>
      </c>
      <c r="G8" t="s">
        <v>78</v>
      </c>
      <c r="H8" t="s">
        <v>32</v>
      </c>
      <c r="I8" t="s">
        <v>84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53</v>
      </c>
      <c r="Q8" t="s">
        <v>47</v>
      </c>
      <c r="R8">
        <v>2024</v>
      </c>
      <c r="S8" t="s">
        <v>38</v>
      </c>
      <c r="T8" t="s">
        <v>39</v>
      </c>
      <c r="V8" t="s">
        <v>40</v>
      </c>
      <c r="W8" t="s">
        <v>41</v>
      </c>
      <c r="X8" t="s">
        <v>43</v>
      </c>
      <c r="Y8" t="s">
        <v>44</v>
      </c>
      <c r="Z8">
        <v>210300</v>
      </c>
    </row>
    <row r="9" spans="1:31" x14ac:dyDescent="0.3">
      <c r="A9" t="s">
        <v>30</v>
      </c>
      <c r="B9">
        <v>2025</v>
      </c>
      <c r="C9">
        <v>3</v>
      </c>
      <c r="D9" t="s">
        <v>91</v>
      </c>
      <c r="H9" t="s">
        <v>32</v>
      </c>
      <c r="I9" t="s">
        <v>84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53</v>
      </c>
      <c r="Q9" t="s">
        <v>37</v>
      </c>
      <c r="R9">
        <v>1</v>
      </c>
      <c r="S9" t="s">
        <v>38</v>
      </c>
      <c r="T9" t="s">
        <v>52</v>
      </c>
      <c r="V9" t="s">
        <v>40</v>
      </c>
      <c r="W9" t="s">
        <v>41</v>
      </c>
      <c r="X9" t="s">
        <v>43</v>
      </c>
      <c r="Y9" t="s">
        <v>44</v>
      </c>
      <c r="Z9">
        <v>5236</v>
      </c>
    </row>
    <row r="10" spans="1:31" x14ac:dyDescent="0.3">
      <c r="A10" t="s">
        <v>30</v>
      </c>
      <c r="B10">
        <v>2025</v>
      </c>
      <c r="C10">
        <v>3</v>
      </c>
      <c r="D10" t="s">
        <v>91</v>
      </c>
      <c r="E10" t="s">
        <v>49</v>
      </c>
      <c r="F10" t="s">
        <v>50</v>
      </c>
      <c r="H10" t="s">
        <v>51</v>
      </c>
      <c r="I10" t="s">
        <v>33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37</v>
      </c>
      <c r="R10">
        <v>1</v>
      </c>
      <c r="S10" t="s">
        <v>38</v>
      </c>
      <c r="T10" t="s">
        <v>52</v>
      </c>
      <c r="V10" t="s">
        <v>40</v>
      </c>
      <c r="W10" t="s">
        <v>41</v>
      </c>
      <c r="X10" t="s">
        <v>43</v>
      </c>
      <c r="Y10" t="s">
        <v>44</v>
      </c>
      <c r="Z10">
        <v>523.418731364515</v>
      </c>
    </row>
    <row r="11" spans="1:31" x14ac:dyDescent="0.3">
      <c r="A11" t="s">
        <v>30</v>
      </c>
      <c r="B11">
        <v>2025</v>
      </c>
      <c r="C11">
        <v>3</v>
      </c>
      <c r="D11" t="s">
        <v>91</v>
      </c>
      <c r="E11" t="s">
        <v>49</v>
      </c>
      <c r="F11" t="s">
        <v>50</v>
      </c>
      <c r="H11" t="s">
        <v>51</v>
      </c>
      <c r="I11" t="s">
        <v>33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37</v>
      </c>
      <c r="R11">
        <v>2</v>
      </c>
      <c r="S11" t="s">
        <v>38</v>
      </c>
      <c r="T11" t="s">
        <v>39</v>
      </c>
      <c r="V11" t="s">
        <v>40</v>
      </c>
      <c r="W11" t="s">
        <v>41</v>
      </c>
      <c r="X11" t="s">
        <v>43</v>
      </c>
      <c r="Y11" t="s">
        <v>44</v>
      </c>
      <c r="Z11">
        <v>1819.45994532345</v>
      </c>
    </row>
    <row r="12" spans="1:31" x14ac:dyDescent="0.3">
      <c r="A12" t="s">
        <v>30</v>
      </c>
      <c r="B12">
        <v>2025</v>
      </c>
      <c r="C12">
        <v>3</v>
      </c>
      <c r="D12" t="s">
        <v>91</v>
      </c>
      <c r="E12" t="s">
        <v>49</v>
      </c>
      <c r="F12" t="s">
        <v>50</v>
      </c>
      <c r="H12" t="s">
        <v>51</v>
      </c>
      <c r="I12" t="s">
        <v>33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37</v>
      </c>
      <c r="R12">
        <v>2</v>
      </c>
      <c r="S12" t="s">
        <v>38</v>
      </c>
      <c r="T12" t="s">
        <v>52</v>
      </c>
      <c r="V12" t="s">
        <v>40</v>
      </c>
      <c r="W12" t="s">
        <v>41</v>
      </c>
      <c r="X12" t="s">
        <v>43</v>
      </c>
      <c r="Y12" t="s">
        <v>44</v>
      </c>
      <c r="Z12">
        <v>206.82454807327201</v>
      </c>
    </row>
    <row r="13" spans="1:31" x14ac:dyDescent="0.3">
      <c r="A13" t="s">
        <v>30</v>
      </c>
      <c r="B13">
        <v>2025</v>
      </c>
      <c r="C13">
        <v>3</v>
      </c>
      <c r="D13" t="s">
        <v>91</v>
      </c>
      <c r="H13" t="s">
        <v>32</v>
      </c>
      <c r="I13" t="s">
        <v>33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53</v>
      </c>
      <c r="Q13" t="s">
        <v>37</v>
      </c>
      <c r="R13">
        <v>1</v>
      </c>
      <c r="S13" t="s">
        <v>38</v>
      </c>
      <c r="T13" t="s">
        <v>52</v>
      </c>
      <c r="V13" t="s">
        <v>40</v>
      </c>
      <c r="W13" t="s">
        <v>41</v>
      </c>
      <c r="X13" t="s">
        <v>43</v>
      </c>
      <c r="Y13" t="s">
        <v>44</v>
      </c>
      <c r="Z13">
        <v>10888.5</v>
      </c>
    </row>
    <row r="14" spans="1:31" x14ac:dyDescent="0.3">
      <c r="A14" t="s">
        <v>30</v>
      </c>
      <c r="B14">
        <v>2025</v>
      </c>
      <c r="C14">
        <v>3</v>
      </c>
      <c r="D14" t="s">
        <v>91</v>
      </c>
      <c r="H14" t="s">
        <v>32</v>
      </c>
      <c r="I14" t="s">
        <v>33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53</v>
      </c>
      <c r="Q14" t="s">
        <v>37</v>
      </c>
      <c r="R14">
        <v>2</v>
      </c>
      <c r="S14" t="s">
        <v>38</v>
      </c>
      <c r="T14" t="s">
        <v>39</v>
      </c>
      <c r="V14" t="s">
        <v>40</v>
      </c>
      <c r="W14" t="s">
        <v>41</v>
      </c>
      <c r="X14" t="s">
        <v>43</v>
      </c>
      <c r="Y14" t="s">
        <v>44</v>
      </c>
      <c r="Z14">
        <v>37849.599999999999</v>
      </c>
    </row>
    <row r="15" spans="1:31" x14ac:dyDescent="0.3">
      <c r="A15" t="s">
        <v>30</v>
      </c>
      <c r="B15">
        <v>2025</v>
      </c>
      <c r="C15">
        <v>3</v>
      </c>
      <c r="D15" t="s">
        <v>91</v>
      </c>
      <c r="H15" t="s">
        <v>32</v>
      </c>
      <c r="I15" t="s">
        <v>33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53</v>
      </c>
      <c r="Q15" t="s">
        <v>37</v>
      </c>
      <c r="R15">
        <v>2</v>
      </c>
      <c r="S15" t="s">
        <v>38</v>
      </c>
      <c r="T15" t="s">
        <v>52</v>
      </c>
      <c r="V15" t="s">
        <v>40</v>
      </c>
      <c r="W15" t="s">
        <v>41</v>
      </c>
      <c r="X15" t="s">
        <v>43</v>
      </c>
      <c r="Y15" t="s">
        <v>44</v>
      </c>
      <c r="Z15">
        <v>4302.5</v>
      </c>
    </row>
    <row r="16" spans="1:31" x14ac:dyDescent="0.3">
      <c r="A16" t="s">
        <v>30</v>
      </c>
      <c r="B16">
        <v>2025</v>
      </c>
      <c r="C16">
        <v>3</v>
      </c>
      <c r="D16" t="s">
        <v>91</v>
      </c>
      <c r="H16" t="s">
        <v>32</v>
      </c>
      <c r="I16" t="s">
        <v>33</v>
      </c>
      <c r="J16" t="s">
        <v>32</v>
      </c>
      <c r="L16">
        <v>2023</v>
      </c>
      <c r="M16" t="s">
        <v>34</v>
      </c>
      <c r="N16" t="s">
        <v>35</v>
      </c>
      <c r="O16">
        <v>127160</v>
      </c>
      <c r="P16" t="s">
        <v>53</v>
      </c>
      <c r="Q16" t="s">
        <v>37</v>
      </c>
      <c r="R16">
        <v>1</v>
      </c>
      <c r="S16" t="s">
        <v>38</v>
      </c>
      <c r="T16" t="s">
        <v>52</v>
      </c>
      <c r="V16" t="s">
        <v>40</v>
      </c>
      <c r="W16" t="s">
        <v>41</v>
      </c>
      <c r="X16" t="s">
        <v>43</v>
      </c>
      <c r="Y16" t="s">
        <v>44</v>
      </c>
      <c r="Z16">
        <v>32665.5</v>
      </c>
    </row>
    <row r="18" spans="1:27" s="2" customFormat="1" x14ac:dyDescent="0.3">
      <c r="A18" s="1" t="s">
        <v>0</v>
      </c>
      <c r="B18" s="1" t="s">
        <v>8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6</v>
      </c>
      <c r="H18" s="1" t="s">
        <v>7</v>
      </c>
      <c r="I18" s="1" t="s">
        <v>83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  <c r="R18" s="1" t="s">
        <v>17</v>
      </c>
      <c r="S18" s="1" t="s">
        <v>18</v>
      </c>
      <c r="T18" s="1" t="s">
        <v>19</v>
      </c>
      <c r="U18" s="1" t="s">
        <v>20</v>
      </c>
      <c r="V18" s="1" t="s">
        <v>58</v>
      </c>
      <c r="W18" s="1" t="s">
        <v>56</v>
      </c>
      <c r="X18" s="1" t="s">
        <v>54</v>
      </c>
      <c r="Y18" s="1" t="s">
        <v>55</v>
      </c>
      <c r="Z18" s="1" t="s">
        <v>57</v>
      </c>
      <c r="AA18" s="1" t="s">
        <v>29</v>
      </c>
    </row>
    <row r="19" spans="1:27" x14ac:dyDescent="0.3">
      <c r="A19" t="s">
        <v>59</v>
      </c>
      <c r="B19">
        <v>2025</v>
      </c>
      <c r="C19">
        <v>3</v>
      </c>
      <c r="D19" t="s">
        <v>91</v>
      </c>
      <c r="E19" t="s">
        <v>49</v>
      </c>
      <c r="F19" t="s">
        <v>50</v>
      </c>
      <c r="G19" t="s">
        <v>33</v>
      </c>
      <c r="H19" t="s">
        <v>32</v>
      </c>
      <c r="J19">
        <v>2024</v>
      </c>
      <c r="K19" t="s">
        <v>34</v>
      </c>
      <c r="L19" t="s">
        <v>35</v>
      </c>
      <c r="M19">
        <v>127160</v>
      </c>
      <c r="N19" t="s">
        <v>36</v>
      </c>
      <c r="O19" t="s">
        <v>37</v>
      </c>
      <c r="P19">
        <v>1</v>
      </c>
      <c r="Q19" t="s">
        <v>38</v>
      </c>
      <c r="R19" t="s">
        <v>39</v>
      </c>
      <c r="T19" t="s">
        <v>40</v>
      </c>
      <c r="U19" t="s">
        <v>41</v>
      </c>
      <c r="V19">
        <v>2.3996350197070956E-2</v>
      </c>
      <c r="W19" t="s">
        <v>60</v>
      </c>
      <c r="X19" t="s">
        <v>53</v>
      </c>
      <c r="Y19" t="s">
        <v>43</v>
      </c>
      <c r="Z19">
        <f>SUM(Z6)</f>
        <v>249986.1</v>
      </c>
    </row>
    <row r="20" spans="1:27" x14ac:dyDescent="0.3">
      <c r="A20" t="s">
        <v>59</v>
      </c>
      <c r="B20">
        <v>2025</v>
      </c>
      <c r="C20">
        <v>3</v>
      </c>
      <c r="D20" t="s">
        <v>91</v>
      </c>
      <c r="E20" t="s">
        <v>49</v>
      </c>
      <c r="F20" t="s">
        <v>50</v>
      </c>
      <c r="G20" t="s">
        <v>46</v>
      </c>
      <c r="H20" t="s">
        <v>32</v>
      </c>
      <c r="J20">
        <v>2024</v>
      </c>
      <c r="K20" t="s">
        <v>34</v>
      </c>
      <c r="L20" t="s">
        <v>35</v>
      </c>
      <c r="M20">
        <v>127160</v>
      </c>
      <c r="N20" t="s">
        <v>36</v>
      </c>
      <c r="O20" t="s">
        <v>47</v>
      </c>
      <c r="P20">
        <v>2024</v>
      </c>
      <c r="Q20" t="s">
        <v>38</v>
      </c>
      <c r="R20" t="s">
        <v>48</v>
      </c>
      <c r="T20" t="s">
        <v>40</v>
      </c>
      <c r="U20" t="s">
        <v>41</v>
      </c>
      <c r="V20">
        <v>5.7017641663284616E-2</v>
      </c>
      <c r="W20" t="s">
        <v>60</v>
      </c>
      <c r="X20" t="s">
        <v>53</v>
      </c>
      <c r="Y20" t="s">
        <v>43</v>
      </c>
      <c r="Z20">
        <f>SUM(Z7:Z7)</f>
        <v>672669</v>
      </c>
    </row>
    <row r="21" spans="1:27" x14ac:dyDescent="0.3">
      <c r="A21" t="s">
        <v>59</v>
      </c>
      <c r="B21">
        <v>2025</v>
      </c>
      <c r="C21">
        <v>3</v>
      </c>
      <c r="D21" t="s">
        <v>91</v>
      </c>
      <c r="E21" t="s">
        <v>49</v>
      </c>
      <c r="F21" t="s">
        <v>78</v>
      </c>
      <c r="G21" t="s">
        <v>84</v>
      </c>
      <c r="H21" t="s">
        <v>32</v>
      </c>
      <c r="J21">
        <v>2024</v>
      </c>
      <c r="K21" t="s">
        <v>34</v>
      </c>
      <c r="L21" t="s">
        <v>35</v>
      </c>
      <c r="M21">
        <v>127160</v>
      </c>
      <c r="N21" t="s">
        <v>36</v>
      </c>
      <c r="O21" t="s">
        <v>47</v>
      </c>
      <c r="P21">
        <v>2024</v>
      </c>
      <c r="Q21" t="s">
        <v>38</v>
      </c>
      <c r="R21" t="s">
        <v>39</v>
      </c>
      <c r="T21" t="s">
        <v>40</v>
      </c>
      <c r="U21" t="s">
        <v>41</v>
      </c>
      <c r="V21">
        <v>5.9766999524488829E-2</v>
      </c>
      <c r="W21" t="s">
        <v>60</v>
      </c>
      <c r="X21" t="s">
        <v>53</v>
      </c>
      <c r="Y21" t="s">
        <v>43</v>
      </c>
      <c r="Z21">
        <f>Z8</f>
        <v>210300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A7F2-1A0E-4BEE-8FE9-2ECE27DB5990}">
  <sheetPr>
    <tabColor rgb="FFFFFF00"/>
  </sheetPr>
  <dimension ref="A1:AR217"/>
  <sheetViews>
    <sheetView topLeftCell="A193" zoomScale="60" zoomScaleNormal="60" workbookViewId="0">
      <selection activeCell="K232" sqref="K232"/>
    </sheetView>
  </sheetViews>
  <sheetFormatPr defaultRowHeight="14.4" x14ac:dyDescent="0.3"/>
  <cols>
    <col min="1" max="1" width="15.109375" customWidth="1"/>
    <col min="2" max="2" width="24" customWidth="1"/>
    <col min="3" max="3" width="10.6640625" customWidth="1"/>
    <col min="4" max="4" width="34" customWidth="1"/>
    <col min="5" max="5" width="46.5546875" customWidth="1"/>
    <col min="6" max="6" width="47.33203125" customWidth="1"/>
    <col min="7" max="7" width="54.6640625" customWidth="1"/>
    <col min="8" max="8" width="30" customWidth="1"/>
    <col min="9" max="9" width="28" customWidth="1"/>
    <col min="10" max="10" width="22.6640625" bestFit="1" customWidth="1"/>
    <col min="11" max="12" width="25.44140625" customWidth="1"/>
    <col min="13" max="13" width="16.44140625" customWidth="1"/>
    <col min="14" max="14" width="18.109375" customWidth="1"/>
    <col min="15" max="15" width="17.44140625" bestFit="1" customWidth="1"/>
    <col min="16" max="16" width="19.33203125" bestFit="1" customWidth="1"/>
    <col min="17" max="17" width="18.6640625" bestFit="1" customWidth="1"/>
    <col min="18" max="18" width="15.44140625" bestFit="1" customWidth="1"/>
    <col min="19" max="19" width="16.6640625" bestFit="1" customWidth="1"/>
    <col min="20" max="20" width="23.88671875" customWidth="1"/>
    <col min="21" max="21" width="32.6640625" bestFit="1" customWidth="1"/>
    <col min="22" max="22" width="34.109375" customWidth="1"/>
    <col min="23" max="23" width="23.44140625" customWidth="1"/>
    <col min="24" max="24" width="26.6640625" bestFit="1" customWidth="1"/>
    <col min="25" max="25" width="44.6640625" customWidth="1"/>
    <col min="26" max="26" width="48" customWidth="1"/>
    <col min="27" max="27" width="40.5546875" customWidth="1"/>
    <col min="28" max="30" width="28" customWidth="1"/>
    <col min="31" max="31" width="24.6640625" customWidth="1"/>
    <col min="32" max="32" width="23.5546875" customWidth="1"/>
    <col min="33" max="33" width="18.6640625" hidden="1" customWidth="1"/>
    <col min="34" max="34" width="27.33203125" hidden="1" customWidth="1"/>
    <col min="35" max="35" width="20.33203125" hidden="1" customWidth="1"/>
    <col min="36" max="36" width="32.44140625" customWidth="1"/>
    <col min="37" max="37" width="19.33203125" bestFit="1" customWidth="1"/>
    <col min="38" max="38" width="28.6640625" customWidth="1"/>
    <col min="39" max="39" width="13.6640625" bestFit="1" customWidth="1"/>
    <col min="40" max="40" width="12" bestFit="1" customWidth="1"/>
    <col min="41" max="41" width="16.33203125" customWidth="1"/>
    <col min="42" max="42" width="11" bestFit="1" customWidth="1"/>
    <col min="43" max="43" width="13.6640625" bestFit="1" customWidth="1"/>
    <col min="44" max="44" width="13.33203125" bestFit="1" customWidth="1"/>
    <col min="45" max="45" width="25.44140625" bestFit="1" customWidth="1"/>
    <col min="46" max="46" width="16.33203125" customWidth="1"/>
    <col min="47" max="47" width="17.88671875" bestFit="1" customWidth="1"/>
    <col min="48" max="48" width="15.33203125" bestFit="1" customWidth="1"/>
    <col min="49" max="49" width="11.33203125" bestFit="1" customWidth="1"/>
    <col min="50" max="50" width="13.109375" bestFit="1" customWidth="1"/>
    <col min="51" max="51" width="9.6640625" bestFit="1" customWidth="1"/>
    <col min="52" max="52" width="12" bestFit="1" customWidth="1"/>
  </cols>
  <sheetData>
    <row r="1" spans="1:44" s="2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61</v>
      </c>
      <c r="F1" s="1" t="s">
        <v>100</v>
      </c>
      <c r="G1" s="1" t="s">
        <v>101</v>
      </c>
      <c r="H1" s="1" t="s">
        <v>5</v>
      </c>
      <c r="I1" s="1" t="s">
        <v>6</v>
      </c>
      <c r="J1" s="1" t="s">
        <v>7</v>
      </c>
      <c r="K1" s="1" t="s">
        <v>83</v>
      </c>
      <c r="L1" s="1" t="s">
        <v>9</v>
      </c>
      <c r="M1" s="1" t="s">
        <v>63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85</v>
      </c>
      <c r="Y1" s="1" t="s">
        <v>86</v>
      </c>
      <c r="Z1" s="1" t="s">
        <v>24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87</v>
      </c>
      <c r="AH1" s="1" t="s">
        <v>23</v>
      </c>
      <c r="AI1" s="1" t="s">
        <v>88</v>
      </c>
      <c r="AJ1" s="1" t="s">
        <v>70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71</v>
      </c>
      <c r="AP1" s="1"/>
      <c r="AQ1" s="1"/>
      <c r="AR1" s="1"/>
    </row>
    <row r="2" spans="1:44" x14ac:dyDescent="0.3">
      <c r="A2" t="s">
        <v>72</v>
      </c>
      <c r="B2">
        <v>2025</v>
      </c>
      <c r="C2">
        <v>3</v>
      </c>
      <c r="D2" t="s">
        <v>91</v>
      </c>
      <c r="G2" t="s">
        <v>50</v>
      </c>
      <c r="H2" t="s">
        <v>32</v>
      </c>
      <c r="I2" t="s">
        <v>46</v>
      </c>
      <c r="J2" t="s">
        <v>32</v>
      </c>
      <c r="L2">
        <v>2024</v>
      </c>
      <c r="M2" t="s">
        <v>34</v>
      </c>
      <c r="N2" t="s">
        <v>35</v>
      </c>
      <c r="O2">
        <v>127160</v>
      </c>
      <c r="P2" t="s">
        <v>36</v>
      </c>
      <c r="Q2" t="s">
        <v>47</v>
      </c>
      <c r="R2">
        <v>2024</v>
      </c>
      <c r="S2" t="s">
        <v>38</v>
      </c>
      <c r="T2" t="s">
        <v>48</v>
      </c>
      <c r="V2" t="s">
        <v>40</v>
      </c>
      <c r="W2" t="s">
        <v>41</v>
      </c>
      <c r="X2" t="s">
        <v>43</v>
      </c>
      <c r="Y2" t="s">
        <v>44</v>
      </c>
      <c r="Z2">
        <v>38354</v>
      </c>
      <c r="AA2" t="s">
        <v>81</v>
      </c>
      <c r="AB2" t="s">
        <v>82</v>
      </c>
      <c r="AC2">
        <v>1</v>
      </c>
      <c r="AG2" t="s">
        <v>73</v>
      </c>
      <c r="AH2" t="s">
        <v>74</v>
      </c>
      <c r="AI2" t="s">
        <v>75</v>
      </c>
      <c r="AJ2">
        <v>144.58753893088627</v>
      </c>
      <c r="AL2" t="s">
        <v>76</v>
      </c>
      <c r="AM2">
        <v>8</v>
      </c>
      <c r="AN2">
        <v>8</v>
      </c>
      <c r="AO2" s="3">
        <v>7</v>
      </c>
    </row>
    <row r="3" spans="1:44" x14ac:dyDescent="0.3">
      <c r="A3" t="s">
        <v>72</v>
      </c>
      <c r="B3">
        <v>2025</v>
      </c>
      <c r="C3">
        <v>3</v>
      </c>
      <c r="D3" t="s">
        <v>91</v>
      </c>
      <c r="G3" t="s">
        <v>50</v>
      </c>
      <c r="H3" t="s">
        <v>32</v>
      </c>
      <c r="I3" t="s">
        <v>46</v>
      </c>
      <c r="J3" t="s">
        <v>32</v>
      </c>
      <c r="L3">
        <v>2024</v>
      </c>
      <c r="M3" t="s">
        <v>34</v>
      </c>
      <c r="N3" t="s">
        <v>35</v>
      </c>
      <c r="O3">
        <v>127160</v>
      </c>
      <c r="P3" t="s">
        <v>36</v>
      </c>
      <c r="Q3" t="s">
        <v>47</v>
      </c>
      <c r="R3">
        <v>2024</v>
      </c>
      <c r="S3" t="s">
        <v>38</v>
      </c>
      <c r="T3" t="s">
        <v>48</v>
      </c>
      <c r="V3" t="s">
        <v>40</v>
      </c>
      <c r="W3" t="s">
        <v>41</v>
      </c>
      <c r="X3" t="s">
        <v>43</v>
      </c>
      <c r="Y3" t="s">
        <v>44</v>
      </c>
      <c r="Z3">
        <v>38354</v>
      </c>
      <c r="AA3" t="s">
        <v>81</v>
      </c>
      <c r="AB3" t="s">
        <v>82</v>
      </c>
      <c r="AC3">
        <v>2</v>
      </c>
      <c r="AG3" t="s">
        <v>73</v>
      </c>
      <c r="AH3" t="s">
        <v>74</v>
      </c>
      <c r="AI3" t="s">
        <v>75</v>
      </c>
      <c r="AJ3">
        <v>211.29153616381558</v>
      </c>
      <c r="AL3" t="s">
        <v>76</v>
      </c>
      <c r="AM3">
        <v>8</v>
      </c>
      <c r="AN3">
        <v>8</v>
      </c>
      <c r="AO3" s="3">
        <v>10</v>
      </c>
    </row>
    <row r="4" spans="1:44" x14ac:dyDescent="0.3">
      <c r="A4" t="s">
        <v>72</v>
      </c>
      <c r="B4">
        <v>2025</v>
      </c>
      <c r="C4">
        <v>3</v>
      </c>
      <c r="D4" t="s">
        <v>91</v>
      </c>
      <c r="G4" t="s">
        <v>50</v>
      </c>
      <c r="H4" t="s">
        <v>32</v>
      </c>
      <c r="I4" t="s">
        <v>46</v>
      </c>
      <c r="J4" t="s">
        <v>32</v>
      </c>
      <c r="L4">
        <v>2024</v>
      </c>
      <c r="M4" t="s">
        <v>34</v>
      </c>
      <c r="N4" t="s">
        <v>35</v>
      </c>
      <c r="O4">
        <v>127160</v>
      </c>
      <c r="P4" t="s">
        <v>36</v>
      </c>
      <c r="Q4" t="s">
        <v>47</v>
      </c>
      <c r="R4">
        <v>2024</v>
      </c>
      <c r="S4" t="s">
        <v>38</v>
      </c>
      <c r="T4" t="s">
        <v>48</v>
      </c>
      <c r="V4" t="s">
        <v>40</v>
      </c>
      <c r="W4" t="s">
        <v>41</v>
      </c>
      <c r="X4" t="s">
        <v>43</v>
      </c>
      <c r="Y4" t="s">
        <v>44</v>
      </c>
      <c r="Z4">
        <v>38354</v>
      </c>
      <c r="AA4" t="s">
        <v>81</v>
      </c>
      <c r="AB4" t="s">
        <v>82</v>
      </c>
      <c r="AC4">
        <v>3</v>
      </c>
      <c r="AG4" t="s">
        <v>73</v>
      </c>
      <c r="AH4" t="s">
        <v>74</v>
      </c>
      <c r="AI4" t="s">
        <v>75</v>
      </c>
      <c r="AJ4">
        <v>67.720974279625239</v>
      </c>
      <c r="AL4" t="s">
        <v>76</v>
      </c>
      <c r="AM4">
        <v>8</v>
      </c>
      <c r="AN4">
        <v>8</v>
      </c>
      <c r="AO4" s="3">
        <v>3</v>
      </c>
    </row>
    <row r="5" spans="1:44" x14ac:dyDescent="0.3">
      <c r="A5" t="s">
        <v>72</v>
      </c>
      <c r="B5">
        <v>2025</v>
      </c>
      <c r="C5">
        <v>3</v>
      </c>
      <c r="D5" t="s">
        <v>91</v>
      </c>
      <c r="G5" t="s">
        <v>50</v>
      </c>
      <c r="H5" t="s">
        <v>32</v>
      </c>
      <c r="I5" t="s">
        <v>46</v>
      </c>
      <c r="J5" t="s">
        <v>32</v>
      </c>
      <c r="L5">
        <v>2024</v>
      </c>
      <c r="M5" t="s">
        <v>34</v>
      </c>
      <c r="N5" t="s">
        <v>35</v>
      </c>
      <c r="O5">
        <v>127160</v>
      </c>
      <c r="P5" t="s">
        <v>36</v>
      </c>
      <c r="Q5" t="s">
        <v>47</v>
      </c>
      <c r="R5">
        <v>2024</v>
      </c>
      <c r="S5" t="s">
        <v>38</v>
      </c>
      <c r="T5" t="s">
        <v>48</v>
      </c>
      <c r="V5" t="s">
        <v>40</v>
      </c>
      <c r="W5" t="s">
        <v>41</v>
      </c>
      <c r="X5" t="s">
        <v>43</v>
      </c>
      <c r="Y5" t="s">
        <v>44</v>
      </c>
      <c r="Z5">
        <v>38354</v>
      </c>
      <c r="AA5" t="s">
        <v>81</v>
      </c>
      <c r="AB5" t="s">
        <v>82</v>
      </c>
      <c r="AC5">
        <v>4</v>
      </c>
      <c r="AG5" t="s">
        <v>73</v>
      </c>
      <c r="AH5" t="s">
        <v>74</v>
      </c>
      <c r="AI5" t="s">
        <v>75</v>
      </c>
      <c r="AJ5">
        <v>640.94786219452533</v>
      </c>
      <c r="AL5" t="s">
        <v>76</v>
      </c>
      <c r="AM5">
        <v>8</v>
      </c>
      <c r="AN5">
        <v>8</v>
      </c>
      <c r="AO5" s="3">
        <v>29</v>
      </c>
    </row>
    <row r="6" spans="1:44" x14ac:dyDescent="0.3">
      <c r="A6" t="s">
        <v>72</v>
      </c>
      <c r="B6">
        <v>2025</v>
      </c>
      <c r="C6">
        <v>3</v>
      </c>
      <c r="D6" t="s">
        <v>91</v>
      </c>
      <c r="G6" t="s">
        <v>50</v>
      </c>
      <c r="H6" t="s">
        <v>32</v>
      </c>
      <c r="I6" t="s">
        <v>46</v>
      </c>
      <c r="J6" t="s">
        <v>32</v>
      </c>
      <c r="L6">
        <v>2024</v>
      </c>
      <c r="M6" t="s">
        <v>34</v>
      </c>
      <c r="N6" t="s">
        <v>35</v>
      </c>
      <c r="O6">
        <v>127160</v>
      </c>
      <c r="P6" t="s">
        <v>36</v>
      </c>
      <c r="Q6" t="s">
        <v>47</v>
      </c>
      <c r="R6">
        <v>2024</v>
      </c>
      <c r="S6" t="s">
        <v>38</v>
      </c>
      <c r="T6" t="s">
        <v>48</v>
      </c>
      <c r="V6" t="s">
        <v>40</v>
      </c>
      <c r="W6" t="s">
        <v>41</v>
      </c>
      <c r="X6" t="s">
        <v>43</v>
      </c>
      <c r="Y6" t="s">
        <v>44</v>
      </c>
      <c r="Z6">
        <v>38354</v>
      </c>
      <c r="AA6" t="s">
        <v>81</v>
      </c>
      <c r="AB6" t="s">
        <v>82</v>
      </c>
      <c r="AC6">
        <v>5</v>
      </c>
      <c r="AG6" t="s">
        <v>73</v>
      </c>
      <c r="AH6" t="s">
        <v>74</v>
      </c>
      <c r="AI6" t="s">
        <v>75</v>
      </c>
      <c r="AJ6">
        <v>951.95702697658589</v>
      </c>
      <c r="AL6" t="s">
        <v>76</v>
      </c>
      <c r="AM6">
        <v>8</v>
      </c>
      <c r="AN6">
        <v>8</v>
      </c>
      <c r="AO6" s="3">
        <v>44</v>
      </c>
    </row>
    <row r="7" spans="1:44" x14ac:dyDescent="0.3">
      <c r="A7" t="s">
        <v>72</v>
      </c>
      <c r="B7">
        <v>2025</v>
      </c>
      <c r="C7">
        <v>3</v>
      </c>
      <c r="D7" t="s">
        <v>91</v>
      </c>
      <c r="G7" t="s">
        <v>50</v>
      </c>
      <c r="H7" t="s">
        <v>32</v>
      </c>
      <c r="I7" t="s">
        <v>46</v>
      </c>
      <c r="J7" t="s">
        <v>32</v>
      </c>
      <c r="L7">
        <v>2024</v>
      </c>
      <c r="M7" t="s">
        <v>34</v>
      </c>
      <c r="N7" t="s">
        <v>35</v>
      </c>
      <c r="O7">
        <v>127160</v>
      </c>
      <c r="P7" t="s">
        <v>36</v>
      </c>
      <c r="Q7" t="s">
        <v>47</v>
      </c>
      <c r="R7">
        <v>2024</v>
      </c>
      <c r="S7" t="s">
        <v>38</v>
      </c>
      <c r="T7" t="s">
        <v>48</v>
      </c>
      <c r="V7" t="s">
        <v>40</v>
      </c>
      <c r="W7" t="s">
        <v>41</v>
      </c>
      <c r="X7" t="s">
        <v>43</v>
      </c>
      <c r="Y7" t="s">
        <v>44</v>
      </c>
      <c r="Z7">
        <v>38354</v>
      </c>
      <c r="AA7" t="s">
        <v>81</v>
      </c>
      <c r="AB7" t="s">
        <v>82</v>
      </c>
      <c r="AC7">
        <v>6</v>
      </c>
      <c r="AG7" t="s">
        <v>73</v>
      </c>
      <c r="AH7" t="s">
        <v>74</v>
      </c>
      <c r="AI7" t="s">
        <v>75</v>
      </c>
      <c r="AJ7">
        <v>1085.7882498419476</v>
      </c>
      <c r="AL7" t="s">
        <v>76</v>
      </c>
      <c r="AM7">
        <v>8</v>
      </c>
      <c r="AN7">
        <v>8</v>
      </c>
      <c r="AO7" s="3">
        <v>50</v>
      </c>
    </row>
    <row r="8" spans="1:44" x14ac:dyDescent="0.3">
      <c r="A8" t="s">
        <v>72</v>
      </c>
      <c r="B8">
        <v>2025</v>
      </c>
      <c r="C8">
        <v>3</v>
      </c>
      <c r="D8" t="s">
        <v>91</v>
      </c>
      <c r="G8" t="s">
        <v>50</v>
      </c>
      <c r="H8" t="s">
        <v>32</v>
      </c>
      <c r="I8" t="s">
        <v>46</v>
      </c>
      <c r="J8" t="s">
        <v>32</v>
      </c>
      <c r="L8">
        <v>2024</v>
      </c>
      <c r="M8" t="s">
        <v>34</v>
      </c>
      <c r="N8" t="s">
        <v>35</v>
      </c>
      <c r="O8">
        <v>127160</v>
      </c>
      <c r="P8" t="s">
        <v>36</v>
      </c>
      <c r="Q8" t="s">
        <v>47</v>
      </c>
      <c r="R8">
        <v>2024</v>
      </c>
      <c r="S8" t="s">
        <v>38</v>
      </c>
      <c r="T8" t="s">
        <v>48</v>
      </c>
      <c r="V8" t="s">
        <v>40</v>
      </c>
      <c r="W8" t="s">
        <v>41</v>
      </c>
      <c r="X8" t="s">
        <v>43</v>
      </c>
      <c r="Y8" t="s">
        <v>44</v>
      </c>
      <c r="Z8">
        <v>38354</v>
      </c>
      <c r="AA8" t="s">
        <v>81</v>
      </c>
      <c r="AB8" t="s">
        <v>82</v>
      </c>
      <c r="AC8">
        <v>7</v>
      </c>
      <c r="AG8" t="s">
        <v>73</v>
      </c>
      <c r="AH8" t="s">
        <v>74</v>
      </c>
      <c r="AI8" t="s">
        <v>75</v>
      </c>
      <c r="AJ8">
        <v>1025.4706444574583</v>
      </c>
      <c r="AL8" t="s">
        <v>76</v>
      </c>
      <c r="AM8">
        <v>8</v>
      </c>
      <c r="AN8">
        <v>8</v>
      </c>
      <c r="AO8" s="3">
        <v>47</v>
      </c>
    </row>
    <row r="9" spans="1:44" x14ac:dyDescent="0.3">
      <c r="A9" t="s">
        <v>72</v>
      </c>
      <c r="B9">
        <v>2025</v>
      </c>
      <c r="C9">
        <v>3</v>
      </c>
      <c r="D9" t="s">
        <v>91</v>
      </c>
      <c r="G9" t="s">
        <v>50</v>
      </c>
      <c r="H9" t="s">
        <v>32</v>
      </c>
      <c r="I9" t="s">
        <v>46</v>
      </c>
      <c r="J9" t="s">
        <v>32</v>
      </c>
      <c r="L9">
        <v>2024</v>
      </c>
      <c r="M9" t="s">
        <v>34</v>
      </c>
      <c r="N9" t="s">
        <v>35</v>
      </c>
      <c r="O9">
        <v>127160</v>
      </c>
      <c r="P9" t="s">
        <v>36</v>
      </c>
      <c r="Q9" t="s">
        <v>47</v>
      </c>
      <c r="R9">
        <v>2024</v>
      </c>
      <c r="S9" t="s">
        <v>38</v>
      </c>
      <c r="T9" t="s">
        <v>48</v>
      </c>
      <c r="V9" t="s">
        <v>40</v>
      </c>
      <c r="W9" t="s">
        <v>41</v>
      </c>
      <c r="X9" t="s">
        <v>43</v>
      </c>
      <c r="Y9" t="s">
        <v>44</v>
      </c>
      <c r="Z9">
        <v>38354</v>
      </c>
      <c r="AA9" t="s">
        <v>81</v>
      </c>
      <c r="AB9" t="s">
        <v>82</v>
      </c>
      <c r="AC9">
        <v>1</v>
      </c>
      <c r="AG9" t="s">
        <v>43</v>
      </c>
      <c r="AH9" t="s">
        <v>44</v>
      </c>
      <c r="AI9" t="s">
        <v>77</v>
      </c>
      <c r="AJ9">
        <v>5.4675291723273898E-3</v>
      </c>
      <c r="AL9" t="s">
        <v>76</v>
      </c>
      <c r="AM9">
        <v>8</v>
      </c>
      <c r="AN9">
        <v>8</v>
      </c>
      <c r="AO9" s="3">
        <v>7</v>
      </c>
    </row>
    <row r="10" spans="1:44" x14ac:dyDescent="0.3">
      <c r="A10" t="s">
        <v>72</v>
      </c>
      <c r="B10">
        <v>2025</v>
      </c>
      <c r="C10">
        <v>3</v>
      </c>
      <c r="D10" t="s">
        <v>91</v>
      </c>
      <c r="G10" t="s">
        <v>50</v>
      </c>
      <c r="H10" t="s">
        <v>32</v>
      </c>
      <c r="I10" t="s">
        <v>46</v>
      </c>
      <c r="J10" t="s">
        <v>32</v>
      </c>
      <c r="L10">
        <v>2024</v>
      </c>
      <c r="M10" t="s">
        <v>34</v>
      </c>
      <c r="N10" t="s">
        <v>35</v>
      </c>
      <c r="O10">
        <v>127160</v>
      </c>
      <c r="P10" t="s">
        <v>36</v>
      </c>
      <c r="Q10" t="s">
        <v>47</v>
      </c>
      <c r="R10">
        <v>2024</v>
      </c>
      <c r="S10" t="s">
        <v>38</v>
      </c>
      <c r="T10" t="s">
        <v>48</v>
      </c>
      <c r="V10" t="s">
        <v>40</v>
      </c>
      <c r="W10" t="s">
        <v>41</v>
      </c>
      <c r="X10" t="s">
        <v>43</v>
      </c>
      <c r="Y10" t="s">
        <v>44</v>
      </c>
      <c r="Z10">
        <v>38354</v>
      </c>
      <c r="AA10" t="s">
        <v>81</v>
      </c>
      <c r="AB10" t="s">
        <v>82</v>
      </c>
      <c r="AC10">
        <v>2</v>
      </c>
      <c r="AG10" t="s">
        <v>43</v>
      </c>
      <c r="AH10" t="s">
        <v>44</v>
      </c>
      <c r="AI10" t="s">
        <v>77</v>
      </c>
      <c r="AJ10">
        <v>6.1144567118773E-3</v>
      </c>
      <c r="AL10" t="s">
        <v>76</v>
      </c>
      <c r="AM10">
        <v>8</v>
      </c>
      <c r="AN10">
        <v>8</v>
      </c>
      <c r="AO10" s="3">
        <v>10</v>
      </c>
    </row>
    <row r="11" spans="1:44" x14ac:dyDescent="0.3">
      <c r="A11" t="s">
        <v>72</v>
      </c>
      <c r="B11">
        <v>2025</v>
      </c>
      <c r="C11">
        <v>3</v>
      </c>
      <c r="D11" t="s">
        <v>91</v>
      </c>
      <c r="G11" t="s">
        <v>50</v>
      </c>
      <c r="H11" t="s">
        <v>32</v>
      </c>
      <c r="I11" t="s">
        <v>46</v>
      </c>
      <c r="J11" t="s">
        <v>32</v>
      </c>
      <c r="L11">
        <v>2024</v>
      </c>
      <c r="M11" t="s">
        <v>34</v>
      </c>
      <c r="N11" t="s">
        <v>35</v>
      </c>
      <c r="O11">
        <v>127160</v>
      </c>
      <c r="P11" t="s">
        <v>36</v>
      </c>
      <c r="Q11" t="s">
        <v>47</v>
      </c>
      <c r="R11">
        <v>2024</v>
      </c>
      <c r="S11" t="s">
        <v>38</v>
      </c>
      <c r="T11" t="s">
        <v>48</v>
      </c>
      <c r="V11" t="s">
        <v>40</v>
      </c>
      <c r="W11" t="s">
        <v>41</v>
      </c>
      <c r="X11" t="s">
        <v>43</v>
      </c>
      <c r="Y11" t="s">
        <v>44</v>
      </c>
      <c r="Z11">
        <v>38354</v>
      </c>
      <c r="AA11" t="s">
        <v>81</v>
      </c>
      <c r="AB11" t="s">
        <v>82</v>
      </c>
      <c r="AC11">
        <v>3</v>
      </c>
      <c r="AG11" t="s">
        <v>43</v>
      </c>
      <c r="AH11" t="s">
        <v>44</v>
      </c>
      <c r="AI11" t="s">
        <v>77</v>
      </c>
      <c r="AJ11">
        <v>6.9160162542765101E-3</v>
      </c>
      <c r="AL11" t="s">
        <v>76</v>
      </c>
      <c r="AM11">
        <v>8</v>
      </c>
      <c r="AN11">
        <v>8</v>
      </c>
      <c r="AO11" s="3">
        <v>3</v>
      </c>
    </row>
    <row r="12" spans="1:44" x14ac:dyDescent="0.3">
      <c r="A12" t="s">
        <v>72</v>
      </c>
      <c r="B12">
        <v>2025</v>
      </c>
      <c r="C12">
        <v>3</v>
      </c>
      <c r="D12" t="s">
        <v>91</v>
      </c>
      <c r="G12" t="s">
        <v>50</v>
      </c>
      <c r="H12" t="s">
        <v>32</v>
      </c>
      <c r="I12" t="s">
        <v>46</v>
      </c>
      <c r="J12" t="s">
        <v>32</v>
      </c>
      <c r="L12">
        <v>2024</v>
      </c>
      <c r="M12" t="s">
        <v>34</v>
      </c>
      <c r="N12" t="s">
        <v>35</v>
      </c>
      <c r="O12">
        <v>127160</v>
      </c>
      <c r="P12" t="s">
        <v>36</v>
      </c>
      <c r="Q12" t="s">
        <v>47</v>
      </c>
      <c r="R12">
        <v>2024</v>
      </c>
      <c r="S12" t="s">
        <v>38</v>
      </c>
      <c r="T12" t="s">
        <v>48</v>
      </c>
      <c r="V12" t="s">
        <v>40</v>
      </c>
      <c r="W12" t="s">
        <v>41</v>
      </c>
      <c r="X12" t="s">
        <v>43</v>
      </c>
      <c r="Y12" t="s">
        <v>44</v>
      </c>
      <c r="Z12">
        <v>38354</v>
      </c>
      <c r="AA12" t="s">
        <v>81</v>
      </c>
      <c r="AB12" t="s">
        <v>82</v>
      </c>
      <c r="AC12">
        <v>4</v>
      </c>
      <c r="AG12" t="s">
        <v>43</v>
      </c>
      <c r="AH12" t="s">
        <v>44</v>
      </c>
      <c r="AI12" t="s">
        <v>77</v>
      </c>
      <c r="AJ12">
        <v>7.9270867728723996E-3</v>
      </c>
      <c r="AL12" t="s">
        <v>76</v>
      </c>
      <c r="AM12">
        <v>8</v>
      </c>
      <c r="AN12">
        <v>8</v>
      </c>
      <c r="AO12" s="3">
        <v>29</v>
      </c>
    </row>
    <row r="13" spans="1:44" x14ac:dyDescent="0.3">
      <c r="A13" t="s">
        <v>72</v>
      </c>
      <c r="B13">
        <v>2025</v>
      </c>
      <c r="C13">
        <v>3</v>
      </c>
      <c r="D13" t="s">
        <v>91</v>
      </c>
      <c r="G13" t="s">
        <v>50</v>
      </c>
      <c r="H13" t="s">
        <v>32</v>
      </c>
      <c r="I13" t="s">
        <v>46</v>
      </c>
      <c r="J13" t="s">
        <v>32</v>
      </c>
      <c r="L13">
        <v>2024</v>
      </c>
      <c r="M13" t="s">
        <v>34</v>
      </c>
      <c r="N13" t="s">
        <v>35</v>
      </c>
      <c r="O13">
        <v>127160</v>
      </c>
      <c r="P13" t="s">
        <v>36</v>
      </c>
      <c r="Q13" t="s">
        <v>47</v>
      </c>
      <c r="R13">
        <v>2024</v>
      </c>
      <c r="S13" t="s">
        <v>38</v>
      </c>
      <c r="T13" t="s">
        <v>48</v>
      </c>
      <c r="V13" t="s">
        <v>40</v>
      </c>
      <c r="W13" t="s">
        <v>41</v>
      </c>
      <c r="X13" t="s">
        <v>43</v>
      </c>
      <c r="Y13" t="s">
        <v>44</v>
      </c>
      <c r="Z13">
        <v>38354</v>
      </c>
      <c r="AA13" t="s">
        <v>81</v>
      </c>
      <c r="AB13" t="s">
        <v>82</v>
      </c>
      <c r="AC13">
        <v>5</v>
      </c>
      <c r="AG13" t="s">
        <v>43</v>
      </c>
      <c r="AH13" t="s">
        <v>44</v>
      </c>
      <c r="AI13" t="s">
        <v>77</v>
      </c>
      <c r="AJ13">
        <v>8.8453217608713899E-3</v>
      </c>
      <c r="AL13" t="s">
        <v>76</v>
      </c>
      <c r="AM13">
        <v>8</v>
      </c>
      <c r="AN13">
        <v>8</v>
      </c>
      <c r="AO13" s="3">
        <v>44</v>
      </c>
    </row>
    <row r="14" spans="1:44" x14ac:dyDescent="0.3">
      <c r="A14" t="s">
        <v>72</v>
      </c>
      <c r="B14">
        <v>2025</v>
      </c>
      <c r="C14">
        <v>3</v>
      </c>
      <c r="D14" t="s">
        <v>91</v>
      </c>
      <c r="G14" t="s">
        <v>50</v>
      </c>
      <c r="H14" t="s">
        <v>32</v>
      </c>
      <c r="I14" t="s">
        <v>46</v>
      </c>
      <c r="J14" t="s">
        <v>32</v>
      </c>
      <c r="L14">
        <v>2024</v>
      </c>
      <c r="M14" t="s">
        <v>34</v>
      </c>
      <c r="N14" t="s">
        <v>35</v>
      </c>
      <c r="O14">
        <v>127160</v>
      </c>
      <c r="P14" t="s">
        <v>36</v>
      </c>
      <c r="Q14" t="s">
        <v>47</v>
      </c>
      <c r="R14">
        <v>2024</v>
      </c>
      <c r="S14" t="s">
        <v>38</v>
      </c>
      <c r="T14" t="s">
        <v>48</v>
      </c>
      <c r="V14" t="s">
        <v>40</v>
      </c>
      <c r="W14" t="s">
        <v>41</v>
      </c>
      <c r="X14" t="s">
        <v>43</v>
      </c>
      <c r="Y14" t="s">
        <v>44</v>
      </c>
      <c r="Z14">
        <v>38354</v>
      </c>
      <c r="AA14" t="s">
        <v>81</v>
      </c>
      <c r="AB14" t="s">
        <v>82</v>
      </c>
      <c r="AC14">
        <v>6</v>
      </c>
      <c r="AG14" t="s">
        <v>43</v>
      </c>
      <c r="AH14" t="s">
        <v>44</v>
      </c>
      <c r="AI14" t="s">
        <v>77</v>
      </c>
      <c r="AJ14">
        <v>1.0010946123341E-2</v>
      </c>
      <c r="AL14" t="s">
        <v>76</v>
      </c>
      <c r="AM14">
        <v>8</v>
      </c>
      <c r="AN14">
        <v>8</v>
      </c>
      <c r="AO14" s="3">
        <v>50</v>
      </c>
    </row>
    <row r="15" spans="1:44" x14ac:dyDescent="0.3">
      <c r="A15" t="s">
        <v>72</v>
      </c>
      <c r="B15">
        <v>2025</v>
      </c>
      <c r="C15">
        <v>3</v>
      </c>
      <c r="D15" t="s">
        <v>91</v>
      </c>
      <c r="G15" t="s">
        <v>50</v>
      </c>
      <c r="H15" t="s">
        <v>32</v>
      </c>
      <c r="I15" t="s">
        <v>46</v>
      </c>
      <c r="J15" t="s">
        <v>32</v>
      </c>
      <c r="L15">
        <v>2024</v>
      </c>
      <c r="M15" t="s">
        <v>34</v>
      </c>
      <c r="N15" t="s">
        <v>35</v>
      </c>
      <c r="O15">
        <v>127160</v>
      </c>
      <c r="P15" t="s">
        <v>36</v>
      </c>
      <c r="Q15" t="s">
        <v>47</v>
      </c>
      <c r="R15">
        <v>2024</v>
      </c>
      <c r="S15" t="s">
        <v>38</v>
      </c>
      <c r="T15" t="s">
        <v>48</v>
      </c>
      <c r="V15" t="s">
        <v>40</v>
      </c>
      <c r="W15" t="s">
        <v>41</v>
      </c>
      <c r="X15" t="s">
        <v>43</v>
      </c>
      <c r="Y15" t="s">
        <v>44</v>
      </c>
      <c r="Z15">
        <v>38354</v>
      </c>
      <c r="AA15" t="s">
        <v>81</v>
      </c>
      <c r="AB15" t="s">
        <v>82</v>
      </c>
      <c r="AC15">
        <v>7</v>
      </c>
      <c r="AG15" t="s">
        <v>43</v>
      </c>
      <c r="AH15" t="s">
        <v>44</v>
      </c>
      <c r="AI15" t="s">
        <v>77</v>
      </c>
      <c r="AJ15">
        <v>1.1148235171078699E-2</v>
      </c>
      <c r="AL15" t="s">
        <v>76</v>
      </c>
      <c r="AM15">
        <v>8</v>
      </c>
      <c r="AN15">
        <v>8</v>
      </c>
      <c r="AO15" s="3">
        <v>47</v>
      </c>
    </row>
    <row r="16" spans="1:44" x14ac:dyDescent="0.3">
      <c r="A16" t="s">
        <v>72</v>
      </c>
      <c r="B16">
        <v>2025</v>
      </c>
      <c r="C16">
        <v>3</v>
      </c>
      <c r="D16" t="s">
        <v>91</v>
      </c>
      <c r="H16" t="s">
        <v>32</v>
      </c>
      <c r="I16" t="s">
        <v>46</v>
      </c>
      <c r="J16" t="s">
        <v>32</v>
      </c>
      <c r="L16">
        <v>2024</v>
      </c>
      <c r="M16" t="s">
        <v>34</v>
      </c>
      <c r="N16" t="s">
        <v>35</v>
      </c>
      <c r="O16">
        <v>127160</v>
      </c>
      <c r="P16" t="s">
        <v>53</v>
      </c>
      <c r="Q16" t="s">
        <v>47</v>
      </c>
      <c r="R16">
        <v>2024</v>
      </c>
      <c r="S16" t="s">
        <v>38</v>
      </c>
      <c r="T16" t="s">
        <v>48</v>
      </c>
      <c r="V16" t="s">
        <v>40</v>
      </c>
      <c r="W16" t="s">
        <v>41</v>
      </c>
      <c r="X16" t="s">
        <v>43</v>
      </c>
      <c r="Y16" t="s">
        <v>44</v>
      </c>
      <c r="Z16">
        <v>672669</v>
      </c>
      <c r="AA16" t="s">
        <v>81</v>
      </c>
      <c r="AB16" t="s">
        <v>82</v>
      </c>
      <c r="AC16">
        <v>2</v>
      </c>
      <c r="AG16" t="s">
        <v>73</v>
      </c>
      <c r="AH16" t="s">
        <v>74</v>
      </c>
      <c r="AI16" t="s">
        <v>75</v>
      </c>
      <c r="AJ16">
        <v>37798.814272257907</v>
      </c>
      <c r="AL16" t="s">
        <v>76</v>
      </c>
      <c r="AM16">
        <v>8</v>
      </c>
      <c r="AN16">
        <v>8</v>
      </c>
      <c r="AO16" s="3">
        <v>7</v>
      </c>
    </row>
    <row r="17" spans="1:41" x14ac:dyDescent="0.3">
      <c r="A17" t="s">
        <v>72</v>
      </c>
      <c r="B17">
        <v>2025</v>
      </c>
      <c r="C17">
        <v>3</v>
      </c>
      <c r="D17" t="s">
        <v>91</v>
      </c>
      <c r="H17" t="s">
        <v>32</v>
      </c>
      <c r="I17" t="s">
        <v>46</v>
      </c>
      <c r="J17" t="s">
        <v>32</v>
      </c>
      <c r="L17">
        <v>2024</v>
      </c>
      <c r="M17" t="s">
        <v>34</v>
      </c>
      <c r="N17" t="s">
        <v>35</v>
      </c>
      <c r="O17">
        <v>127160</v>
      </c>
      <c r="P17" t="s">
        <v>53</v>
      </c>
      <c r="Q17" t="s">
        <v>47</v>
      </c>
      <c r="R17">
        <v>2024</v>
      </c>
      <c r="S17" t="s">
        <v>38</v>
      </c>
      <c r="T17" t="s">
        <v>48</v>
      </c>
      <c r="V17" t="s">
        <v>40</v>
      </c>
      <c r="W17" t="s">
        <v>41</v>
      </c>
      <c r="X17" t="s">
        <v>43</v>
      </c>
      <c r="Y17" t="s">
        <v>44</v>
      </c>
      <c r="Z17">
        <v>672669</v>
      </c>
      <c r="AA17" t="s">
        <v>81</v>
      </c>
      <c r="AB17" t="s">
        <v>82</v>
      </c>
      <c r="AC17">
        <v>3</v>
      </c>
      <c r="AG17" t="s">
        <v>73</v>
      </c>
      <c r="AH17" t="s">
        <v>74</v>
      </c>
      <c r="AI17" t="s">
        <v>75</v>
      </c>
      <c r="AJ17">
        <v>55236.914548865512</v>
      </c>
      <c r="AL17" t="s">
        <v>76</v>
      </c>
      <c r="AM17">
        <v>8</v>
      </c>
      <c r="AN17">
        <v>8</v>
      </c>
      <c r="AO17" s="3">
        <v>10</v>
      </c>
    </row>
    <row r="18" spans="1:41" x14ac:dyDescent="0.3">
      <c r="A18" t="s">
        <v>72</v>
      </c>
      <c r="B18">
        <v>2025</v>
      </c>
      <c r="C18">
        <v>3</v>
      </c>
      <c r="D18" t="s">
        <v>91</v>
      </c>
      <c r="H18" t="s">
        <v>32</v>
      </c>
      <c r="I18" t="s">
        <v>46</v>
      </c>
      <c r="J18" t="s">
        <v>32</v>
      </c>
      <c r="L18">
        <v>2024</v>
      </c>
      <c r="M18" t="s">
        <v>34</v>
      </c>
      <c r="N18" t="s">
        <v>35</v>
      </c>
      <c r="O18">
        <v>127160</v>
      </c>
      <c r="P18" t="s">
        <v>53</v>
      </c>
      <c r="Q18" t="s">
        <v>47</v>
      </c>
      <c r="R18">
        <v>2024</v>
      </c>
      <c r="S18" t="s">
        <v>38</v>
      </c>
      <c r="T18" t="s">
        <v>48</v>
      </c>
      <c r="V18" t="s">
        <v>40</v>
      </c>
      <c r="W18" t="s">
        <v>41</v>
      </c>
      <c r="X18" t="s">
        <v>43</v>
      </c>
      <c r="Y18" t="s">
        <v>44</v>
      </c>
      <c r="Z18">
        <v>672669</v>
      </c>
      <c r="AA18" t="s">
        <v>81</v>
      </c>
      <c r="AB18" t="s">
        <v>82</v>
      </c>
      <c r="AC18">
        <v>4</v>
      </c>
      <c r="AG18" t="s">
        <v>73</v>
      </c>
      <c r="AH18" t="s">
        <v>74</v>
      </c>
      <c r="AI18" t="s">
        <v>75</v>
      </c>
      <c r="AJ18">
        <v>17703.963619959643</v>
      </c>
      <c r="AL18" t="s">
        <v>76</v>
      </c>
      <c r="AM18">
        <v>8</v>
      </c>
      <c r="AN18">
        <v>8</v>
      </c>
      <c r="AO18" s="3">
        <v>3</v>
      </c>
    </row>
    <row r="19" spans="1:41" x14ac:dyDescent="0.3">
      <c r="A19" t="s">
        <v>72</v>
      </c>
      <c r="B19">
        <v>2025</v>
      </c>
      <c r="C19">
        <v>3</v>
      </c>
      <c r="D19" t="s">
        <v>91</v>
      </c>
      <c r="H19" t="s">
        <v>32</v>
      </c>
      <c r="I19" t="s">
        <v>46</v>
      </c>
      <c r="J19" t="s">
        <v>32</v>
      </c>
      <c r="L19">
        <v>2024</v>
      </c>
      <c r="M19" t="s">
        <v>34</v>
      </c>
      <c r="N19" t="s">
        <v>35</v>
      </c>
      <c r="O19">
        <v>127160</v>
      </c>
      <c r="P19" t="s">
        <v>53</v>
      </c>
      <c r="Q19" t="s">
        <v>47</v>
      </c>
      <c r="R19">
        <v>2024</v>
      </c>
      <c r="S19" t="s">
        <v>38</v>
      </c>
      <c r="T19" t="s">
        <v>48</v>
      </c>
      <c r="V19" t="s">
        <v>40</v>
      </c>
      <c r="W19" t="s">
        <v>41</v>
      </c>
      <c r="X19" t="s">
        <v>43</v>
      </c>
      <c r="Y19" t="s">
        <v>44</v>
      </c>
      <c r="Z19">
        <v>672669</v>
      </c>
      <c r="AA19" t="s">
        <v>81</v>
      </c>
      <c r="AB19" t="s">
        <v>82</v>
      </c>
      <c r="AC19">
        <v>5</v>
      </c>
      <c r="AG19" t="s">
        <v>73</v>
      </c>
      <c r="AH19" t="s">
        <v>74</v>
      </c>
      <c r="AI19" t="s">
        <v>75</v>
      </c>
      <c r="AJ19">
        <v>167559.86982303023</v>
      </c>
      <c r="AL19" t="s">
        <v>76</v>
      </c>
      <c r="AM19">
        <v>8</v>
      </c>
      <c r="AN19">
        <v>8</v>
      </c>
      <c r="AO19" s="3">
        <v>29</v>
      </c>
    </row>
    <row r="20" spans="1:41" x14ac:dyDescent="0.3">
      <c r="A20" t="s">
        <v>72</v>
      </c>
      <c r="B20">
        <v>2025</v>
      </c>
      <c r="C20">
        <v>3</v>
      </c>
      <c r="D20" t="s">
        <v>91</v>
      </c>
      <c r="H20" t="s">
        <v>32</v>
      </c>
      <c r="I20" t="s">
        <v>46</v>
      </c>
      <c r="J20" t="s">
        <v>32</v>
      </c>
      <c r="L20">
        <v>2024</v>
      </c>
      <c r="M20" t="s">
        <v>34</v>
      </c>
      <c r="N20" t="s">
        <v>35</v>
      </c>
      <c r="O20">
        <v>127160</v>
      </c>
      <c r="P20" t="s">
        <v>53</v>
      </c>
      <c r="Q20" t="s">
        <v>47</v>
      </c>
      <c r="R20">
        <v>2024</v>
      </c>
      <c r="S20" t="s">
        <v>38</v>
      </c>
      <c r="T20" t="s">
        <v>48</v>
      </c>
      <c r="V20" t="s">
        <v>40</v>
      </c>
      <c r="W20" t="s">
        <v>41</v>
      </c>
      <c r="X20" t="s">
        <v>43</v>
      </c>
      <c r="Y20" t="s">
        <v>44</v>
      </c>
      <c r="Z20">
        <v>672669</v>
      </c>
      <c r="AA20" t="s">
        <v>81</v>
      </c>
      <c r="AB20" t="s">
        <v>82</v>
      </c>
      <c r="AC20">
        <v>6</v>
      </c>
      <c r="AG20" t="s">
        <v>73</v>
      </c>
      <c r="AH20" t="s">
        <v>74</v>
      </c>
      <c r="AI20" t="s">
        <v>75</v>
      </c>
      <c r="AJ20">
        <v>248865.47709383725</v>
      </c>
      <c r="AL20" t="s">
        <v>76</v>
      </c>
      <c r="AM20">
        <v>8</v>
      </c>
      <c r="AN20">
        <v>8</v>
      </c>
      <c r="AO20" s="3">
        <v>44</v>
      </c>
    </row>
    <row r="21" spans="1:41" x14ac:dyDescent="0.3">
      <c r="A21" t="s">
        <v>72</v>
      </c>
      <c r="B21">
        <v>2025</v>
      </c>
      <c r="C21">
        <v>3</v>
      </c>
      <c r="D21" t="s">
        <v>91</v>
      </c>
      <c r="H21" t="s">
        <v>32</v>
      </c>
      <c r="I21" t="s">
        <v>46</v>
      </c>
      <c r="J21" t="s">
        <v>32</v>
      </c>
      <c r="L21">
        <v>2024</v>
      </c>
      <c r="M21" t="s">
        <v>34</v>
      </c>
      <c r="N21" t="s">
        <v>35</v>
      </c>
      <c r="O21">
        <v>127160</v>
      </c>
      <c r="P21" t="s">
        <v>53</v>
      </c>
      <c r="Q21" t="s">
        <v>47</v>
      </c>
      <c r="R21">
        <v>2024</v>
      </c>
      <c r="S21" t="s">
        <v>38</v>
      </c>
      <c r="T21" t="s">
        <v>48</v>
      </c>
      <c r="V21" t="s">
        <v>40</v>
      </c>
      <c r="W21" t="s">
        <v>41</v>
      </c>
      <c r="X21" t="s">
        <v>43</v>
      </c>
      <c r="Y21" t="s">
        <v>44</v>
      </c>
      <c r="Z21">
        <v>672669</v>
      </c>
      <c r="AA21" t="s">
        <v>81</v>
      </c>
      <c r="AB21" t="s">
        <v>82</v>
      </c>
      <c r="AC21">
        <v>7</v>
      </c>
      <c r="AG21" t="s">
        <v>73</v>
      </c>
      <c r="AH21" t="s">
        <v>74</v>
      </c>
      <c r="AI21" t="s">
        <v>75</v>
      </c>
      <c r="AJ21">
        <v>283852.32018088247</v>
      </c>
      <c r="AL21" t="s">
        <v>76</v>
      </c>
      <c r="AM21">
        <v>8</v>
      </c>
      <c r="AN21">
        <v>8</v>
      </c>
      <c r="AO21" s="3">
        <v>50</v>
      </c>
    </row>
    <row r="22" spans="1:41" x14ac:dyDescent="0.3">
      <c r="A22" t="s">
        <v>72</v>
      </c>
      <c r="B22">
        <v>2025</v>
      </c>
      <c r="C22">
        <v>3</v>
      </c>
      <c r="D22" t="s">
        <v>91</v>
      </c>
      <c r="H22" t="s">
        <v>32</v>
      </c>
      <c r="I22" t="s">
        <v>46</v>
      </c>
      <c r="J22" t="s">
        <v>32</v>
      </c>
      <c r="L22">
        <v>2024</v>
      </c>
      <c r="M22" t="s">
        <v>34</v>
      </c>
      <c r="N22" t="s">
        <v>35</v>
      </c>
      <c r="O22">
        <v>127160</v>
      </c>
      <c r="P22" t="s">
        <v>53</v>
      </c>
      <c r="Q22" t="s">
        <v>47</v>
      </c>
      <c r="R22">
        <v>2024</v>
      </c>
      <c r="S22" t="s">
        <v>38</v>
      </c>
      <c r="T22" t="s">
        <v>48</v>
      </c>
      <c r="V22" t="s">
        <v>40</v>
      </c>
      <c r="W22" t="s">
        <v>41</v>
      </c>
      <c r="X22" t="s">
        <v>43</v>
      </c>
      <c r="Y22" t="s">
        <v>44</v>
      </c>
      <c r="Z22">
        <v>672669</v>
      </c>
      <c r="AA22" t="s">
        <v>81</v>
      </c>
      <c r="AB22" t="s">
        <v>82</v>
      </c>
      <c r="AC22">
        <v>8</v>
      </c>
      <c r="AG22" t="s">
        <v>73</v>
      </c>
      <c r="AH22" t="s">
        <v>74</v>
      </c>
      <c r="AI22" t="s">
        <v>75</v>
      </c>
      <c r="AJ22">
        <v>268083.78314004198</v>
      </c>
      <c r="AL22" t="s">
        <v>76</v>
      </c>
      <c r="AM22">
        <v>8</v>
      </c>
      <c r="AN22">
        <v>8</v>
      </c>
      <c r="AO22" s="3">
        <v>47</v>
      </c>
    </row>
    <row r="23" spans="1:41" x14ac:dyDescent="0.3">
      <c r="A23" t="s">
        <v>72</v>
      </c>
      <c r="B23">
        <v>2025</v>
      </c>
      <c r="C23">
        <v>3</v>
      </c>
      <c r="D23" t="s">
        <v>91</v>
      </c>
      <c r="H23" t="s">
        <v>32</v>
      </c>
      <c r="I23" t="s">
        <v>46</v>
      </c>
      <c r="J23" t="s">
        <v>32</v>
      </c>
      <c r="L23">
        <v>2024</v>
      </c>
      <c r="M23" t="s">
        <v>34</v>
      </c>
      <c r="N23" t="s">
        <v>35</v>
      </c>
      <c r="O23">
        <v>127160</v>
      </c>
      <c r="P23" t="s">
        <v>53</v>
      </c>
      <c r="Q23" t="s">
        <v>47</v>
      </c>
      <c r="R23">
        <v>2024</v>
      </c>
      <c r="S23" t="s">
        <v>38</v>
      </c>
      <c r="T23" t="s">
        <v>48</v>
      </c>
      <c r="V23" t="s">
        <v>40</v>
      </c>
      <c r="W23" t="s">
        <v>41</v>
      </c>
      <c r="X23" t="s">
        <v>43</v>
      </c>
      <c r="Y23" t="s">
        <v>44</v>
      </c>
      <c r="Z23">
        <v>672669</v>
      </c>
      <c r="AA23" t="s">
        <v>81</v>
      </c>
      <c r="AB23" t="s">
        <v>82</v>
      </c>
      <c r="AC23">
        <v>2</v>
      </c>
      <c r="AG23" t="s">
        <v>43</v>
      </c>
      <c r="AH23" t="s">
        <v>44</v>
      </c>
      <c r="AI23" t="s">
        <v>77</v>
      </c>
      <c r="AJ23">
        <v>0.14675291723273901</v>
      </c>
      <c r="AL23" t="s">
        <v>76</v>
      </c>
      <c r="AM23">
        <v>8</v>
      </c>
      <c r="AN23">
        <v>8</v>
      </c>
      <c r="AO23" s="3">
        <v>7</v>
      </c>
    </row>
    <row r="24" spans="1:41" x14ac:dyDescent="0.3">
      <c r="A24" t="s">
        <v>72</v>
      </c>
      <c r="B24">
        <v>2025</v>
      </c>
      <c r="C24">
        <v>3</v>
      </c>
      <c r="D24" t="s">
        <v>91</v>
      </c>
      <c r="H24" t="s">
        <v>32</v>
      </c>
      <c r="I24" t="s">
        <v>46</v>
      </c>
      <c r="J24" t="s">
        <v>32</v>
      </c>
      <c r="L24">
        <v>2024</v>
      </c>
      <c r="M24" t="s">
        <v>34</v>
      </c>
      <c r="N24" t="s">
        <v>35</v>
      </c>
      <c r="O24">
        <v>127160</v>
      </c>
      <c r="P24" t="s">
        <v>53</v>
      </c>
      <c r="Q24" t="s">
        <v>47</v>
      </c>
      <c r="R24">
        <v>2024</v>
      </c>
      <c r="S24" t="s">
        <v>38</v>
      </c>
      <c r="T24" t="s">
        <v>48</v>
      </c>
      <c r="V24" t="s">
        <v>40</v>
      </c>
      <c r="W24" t="s">
        <v>41</v>
      </c>
      <c r="X24" t="s">
        <v>43</v>
      </c>
      <c r="Y24" t="s">
        <v>44</v>
      </c>
      <c r="Z24">
        <v>672669</v>
      </c>
      <c r="AA24" t="s">
        <v>81</v>
      </c>
      <c r="AB24" t="s">
        <v>82</v>
      </c>
      <c r="AC24">
        <v>3</v>
      </c>
      <c r="AG24" t="s">
        <v>43</v>
      </c>
      <c r="AH24" t="s">
        <v>44</v>
      </c>
      <c r="AI24" t="s">
        <v>77</v>
      </c>
      <c r="AJ24">
        <v>0.26114456711877299</v>
      </c>
      <c r="AL24" t="s">
        <v>76</v>
      </c>
      <c r="AM24">
        <v>8</v>
      </c>
      <c r="AN24">
        <v>8</v>
      </c>
      <c r="AO24" s="3">
        <v>10</v>
      </c>
    </row>
    <row r="25" spans="1:41" x14ac:dyDescent="0.3">
      <c r="A25" t="s">
        <v>72</v>
      </c>
      <c r="B25">
        <v>2025</v>
      </c>
      <c r="C25">
        <v>3</v>
      </c>
      <c r="D25" t="s">
        <v>91</v>
      </c>
      <c r="H25" t="s">
        <v>32</v>
      </c>
      <c r="I25" t="s">
        <v>46</v>
      </c>
      <c r="J25" t="s">
        <v>32</v>
      </c>
      <c r="L25">
        <v>2024</v>
      </c>
      <c r="M25" t="s">
        <v>34</v>
      </c>
      <c r="N25" t="s">
        <v>35</v>
      </c>
      <c r="O25">
        <v>127160</v>
      </c>
      <c r="P25" t="s">
        <v>53</v>
      </c>
      <c r="Q25" t="s">
        <v>47</v>
      </c>
      <c r="R25">
        <v>2024</v>
      </c>
      <c r="S25" t="s">
        <v>38</v>
      </c>
      <c r="T25" t="s">
        <v>48</v>
      </c>
      <c r="V25" t="s">
        <v>40</v>
      </c>
      <c r="W25" t="s">
        <v>41</v>
      </c>
      <c r="X25" t="s">
        <v>43</v>
      </c>
      <c r="Y25" t="s">
        <v>44</v>
      </c>
      <c r="Z25">
        <v>672669</v>
      </c>
      <c r="AA25" t="s">
        <v>81</v>
      </c>
      <c r="AB25" t="s">
        <v>82</v>
      </c>
      <c r="AC25">
        <v>4</v>
      </c>
      <c r="AG25" t="s">
        <v>43</v>
      </c>
      <c r="AH25" t="s">
        <v>44</v>
      </c>
      <c r="AI25" t="s">
        <v>77</v>
      </c>
      <c r="AJ25">
        <v>0.36916016254276501</v>
      </c>
      <c r="AL25" t="s">
        <v>76</v>
      </c>
      <c r="AM25">
        <v>8</v>
      </c>
      <c r="AN25">
        <v>8</v>
      </c>
      <c r="AO25" s="3">
        <v>3</v>
      </c>
    </row>
    <row r="26" spans="1:41" x14ac:dyDescent="0.3">
      <c r="A26" t="s">
        <v>72</v>
      </c>
      <c r="B26">
        <v>2025</v>
      </c>
      <c r="C26">
        <v>3</v>
      </c>
      <c r="D26" t="s">
        <v>91</v>
      </c>
      <c r="H26" t="s">
        <v>32</v>
      </c>
      <c r="I26" t="s">
        <v>46</v>
      </c>
      <c r="J26" t="s">
        <v>32</v>
      </c>
      <c r="L26">
        <v>2024</v>
      </c>
      <c r="M26" t="s">
        <v>34</v>
      </c>
      <c r="N26" t="s">
        <v>35</v>
      </c>
      <c r="O26">
        <v>127160</v>
      </c>
      <c r="P26" t="s">
        <v>53</v>
      </c>
      <c r="Q26" t="s">
        <v>47</v>
      </c>
      <c r="R26">
        <v>2024</v>
      </c>
      <c r="S26" t="s">
        <v>38</v>
      </c>
      <c r="T26" t="s">
        <v>48</v>
      </c>
      <c r="V26" t="s">
        <v>40</v>
      </c>
      <c r="W26" t="s">
        <v>41</v>
      </c>
      <c r="X26" t="s">
        <v>43</v>
      </c>
      <c r="Y26" t="s">
        <v>44</v>
      </c>
      <c r="Z26">
        <v>672669</v>
      </c>
      <c r="AA26" t="s">
        <v>81</v>
      </c>
      <c r="AB26" t="s">
        <v>82</v>
      </c>
      <c r="AC26">
        <v>5</v>
      </c>
      <c r="AG26" t="s">
        <v>43</v>
      </c>
      <c r="AH26" t="s">
        <v>44</v>
      </c>
      <c r="AI26" t="s">
        <v>77</v>
      </c>
      <c r="AJ26">
        <v>0.48142646094145197</v>
      </c>
      <c r="AL26" t="s">
        <v>76</v>
      </c>
      <c r="AM26">
        <v>8</v>
      </c>
      <c r="AN26">
        <v>8</v>
      </c>
      <c r="AO26" s="3">
        <v>29</v>
      </c>
    </row>
    <row r="27" spans="1:41" x14ac:dyDescent="0.3">
      <c r="A27" t="s">
        <v>72</v>
      </c>
      <c r="B27">
        <v>2025</v>
      </c>
      <c r="C27">
        <v>3</v>
      </c>
      <c r="D27" t="s">
        <v>91</v>
      </c>
      <c r="H27" t="s">
        <v>32</v>
      </c>
      <c r="I27" t="s">
        <v>46</v>
      </c>
      <c r="J27" t="s">
        <v>32</v>
      </c>
      <c r="L27">
        <v>2024</v>
      </c>
      <c r="M27" t="s">
        <v>34</v>
      </c>
      <c r="N27" t="s">
        <v>35</v>
      </c>
      <c r="O27">
        <v>127160</v>
      </c>
      <c r="P27" t="s">
        <v>53</v>
      </c>
      <c r="Q27" t="s">
        <v>47</v>
      </c>
      <c r="R27">
        <v>2024</v>
      </c>
      <c r="S27" t="s">
        <v>38</v>
      </c>
      <c r="T27" t="s">
        <v>48</v>
      </c>
      <c r="V27" t="s">
        <v>40</v>
      </c>
      <c r="W27" t="s">
        <v>41</v>
      </c>
      <c r="X27" t="s">
        <v>43</v>
      </c>
      <c r="Y27" t="s">
        <v>44</v>
      </c>
      <c r="Z27">
        <v>672669</v>
      </c>
      <c r="AA27" t="s">
        <v>81</v>
      </c>
      <c r="AB27" t="s">
        <v>82</v>
      </c>
      <c r="AC27">
        <v>6</v>
      </c>
      <c r="AG27" t="s">
        <v>43</v>
      </c>
      <c r="AH27" t="s">
        <v>44</v>
      </c>
      <c r="AI27" t="s">
        <v>77</v>
      </c>
      <c r="AJ27">
        <v>0.59263008359646496</v>
      </c>
      <c r="AL27" t="s">
        <v>76</v>
      </c>
      <c r="AM27">
        <v>8</v>
      </c>
      <c r="AN27">
        <v>8</v>
      </c>
      <c r="AO27" s="3">
        <v>44</v>
      </c>
    </row>
    <row r="28" spans="1:41" x14ac:dyDescent="0.3">
      <c r="A28" t="s">
        <v>72</v>
      </c>
      <c r="B28">
        <v>2025</v>
      </c>
      <c r="C28">
        <v>3</v>
      </c>
      <c r="D28" t="s">
        <v>91</v>
      </c>
      <c r="H28" t="s">
        <v>32</v>
      </c>
      <c r="I28" t="s">
        <v>46</v>
      </c>
      <c r="J28" t="s">
        <v>32</v>
      </c>
      <c r="L28">
        <v>2024</v>
      </c>
      <c r="M28" t="s">
        <v>34</v>
      </c>
      <c r="N28" t="s">
        <v>35</v>
      </c>
      <c r="O28">
        <v>127160</v>
      </c>
      <c r="P28" t="s">
        <v>53</v>
      </c>
      <c r="Q28" t="s">
        <v>47</v>
      </c>
      <c r="R28">
        <v>2024</v>
      </c>
      <c r="S28" t="s">
        <v>38</v>
      </c>
      <c r="T28" t="s">
        <v>48</v>
      </c>
      <c r="V28" t="s">
        <v>40</v>
      </c>
      <c r="W28" t="s">
        <v>41</v>
      </c>
      <c r="X28" t="s">
        <v>43</v>
      </c>
      <c r="Y28" t="s">
        <v>44</v>
      </c>
      <c r="Z28">
        <v>672669</v>
      </c>
      <c r="AA28" t="s">
        <v>81</v>
      </c>
      <c r="AB28" t="s">
        <v>82</v>
      </c>
      <c r="AC28">
        <v>7</v>
      </c>
      <c r="AG28" t="s">
        <v>43</v>
      </c>
      <c r="AH28" t="s">
        <v>44</v>
      </c>
      <c r="AI28" t="s">
        <v>77</v>
      </c>
      <c r="AJ28">
        <v>0.70383370625147801</v>
      </c>
      <c r="AL28" t="s">
        <v>76</v>
      </c>
      <c r="AM28">
        <v>8</v>
      </c>
      <c r="AN28">
        <v>8</v>
      </c>
      <c r="AO28" s="3">
        <v>50</v>
      </c>
    </row>
    <row r="29" spans="1:41" x14ac:dyDescent="0.3">
      <c r="A29" t="s">
        <v>72</v>
      </c>
      <c r="B29">
        <v>2025</v>
      </c>
      <c r="C29">
        <v>3</v>
      </c>
      <c r="D29" t="s">
        <v>91</v>
      </c>
      <c r="H29" t="s">
        <v>32</v>
      </c>
      <c r="I29" t="s">
        <v>46</v>
      </c>
      <c r="J29" t="s">
        <v>32</v>
      </c>
      <c r="L29">
        <v>2024</v>
      </c>
      <c r="M29" t="s">
        <v>34</v>
      </c>
      <c r="N29" t="s">
        <v>35</v>
      </c>
      <c r="O29">
        <v>127160</v>
      </c>
      <c r="P29" t="s">
        <v>53</v>
      </c>
      <c r="Q29" t="s">
        <v>47</v>
      </c>
      <c r="R29">
        <v>2024</v>
      </c>
      <c r="S29" t="s">
        <v>38</v>
      </c>
      <c r="T29" t="s">
        <v>48</v>
      </c>
      <c r="V29" t="s">
        <v>40</v>
      </c>
      <c r="W29" t="s">
        <v>41</v>
      </c>
      <c r="X29" t="s">
        <v>43</v>
      </c>
      <c r="Y29" t="s">
        <v>44</v>
      </c>
      <c r="Z29">
        <v>672669</v>
      </c>
      <c r="AA29" t="s">
        <v>81</v>
      </c>
      <c r="AB29" t="s">
        <v>82</v>
      </c>
      <c r="AC29">
        <v>8</v>
      </c>
      <c r="AG29" t="s">
        <v>43</v>
      </c>
      <c r="AH29" t="s">
        <v>44</v>
      </c>
      <c r="AI29" t="s">
        <v>77</v>
      </c>
      <c r="AJ29">
        <v>0.81503732890649105</v>
      </c>
      <c r="AL29" t="s">
        <v>76</v>
      </c>
      <c r="AM29">
        <v>8</v>
      </c>
      <c r="AN29">
        <v>8</v>
      </c>
      <c r="AO29" s="3">
        <v>47</v>
      </c>
    </row>
    <row r="30" spans="1:41" x14ac:dyDescent="0.3">
      <c r="A30" t="s">
        <v>72</v>
      </c>
      <c r="B30">
        <v>2025</v>
      </c>
      <c r="C30">
        <v>3</v>
      </c>
      <c r="D30" t="s">
        <v>91</v>
      </c>
      <c r="G30" t="s">
        <v>79</v>
      </c>
      <c r="H30" t="s">
        <v>32</v>
      </c>
      <c r="I30" t="s">
        <v>84</v>
      </c>
      <c r="J30" t="s">
        <v>32</v>
      </c>
      <c r="L30">
        <v>2024</v>
      </c>
      <c r="M30" t="s">
        <v>34</v>
      </c>
      <c r="N30" t="s">
        <v>35</v>
      </c>
      <c r="O30">
        <v>127160</v>
      </c>
      <c r="P30" t="s">
        <v>53</v>
      </c>
      <c r="Q30" t="s">
        <v>47</v>
      </c>
      <c r="R30">
        <v>2024</v>
      </c>
      <c r="S30" t="s">
        <v>38</v>
      </c>
      <c r="T30" t="s">
        <v>39</v>
      </c>
      <c r="V30" t="s">
        <v>40</v>
      </c>
      <c r="W30" t="s">
        <v>41</v>
      </c>
      <c r="X30" t="s">
        <v>43</v>
      </c>
      <c r="Y30" t="s">
        <v>44</v>
      </c>
      <c r="Z30">
        <v>210300</v>
      </c>
      <c r="AA30" t="s">
        <v>81</v>
      </c>
      <c r="AB30" t="s">
        <v>82</v>
      </c>
      <c r="AC30">
        <v>1</v>
      </c>
      <c r="AG30" t="s">
        <v>73</v>
      </c>
      <c r="AH30" t="s">
        <v>74</v>
      </c>
      <c r="AI30" t="s">
        <v>75</v>
      </c>
      <c r="AJ30">
        <v>661.22237652096464</v>
      </c>
    </row>
    <row r="31" spans="1:41" x14ac:dyDescent="0.3">
      <c r="A31" t="s">
        <v>72</v>
      </c>
      <c r="B31">
        <v>2025</v>
      </c>
      <c r="C31">
        <v>3</v>
      </c>
      <c r="D31" t="s">
        <v>91</v>
      </c>
      <c r="G31" t="s">
        <v>79</v>
      </c>
      <c r="H31" t="s">
        <v>32</v>
      </c>
      <c r="I31" t="s">
        <v>84</v>
      </c>
      <c r="J31" t="s">
        <v>32</v>
      </c>
      <c r="L31">
        <v>2024</v>
      </c>
      <c r="M31" t="s">
        <v>34</v>
      </c>
      <c r="N31" t="s">
        <v>35</v>
      </c>
      <c r="O31">
        <v>127160</v>
      </c>
      <c r="P31" t="s">
        <v>53</v>
      </c>
      <c r="Q31" t="s">
        <v>47</v>
      </c>
      <c r="R31">
        <v>2024</v>
      </c>
      <c r="S31" t="s">
        <v>38</v>
      </c>
      <c r="T31" t="s">
        <v>39</v>
      </c>
      <c r="V31" t="s">
        <v>40</v>
      </c>
      <c r="W31" t="s">
        <v>41</v>
      </c>
      <c r="X31" t="s">
        <v>43</v>
      </c>
      <c r="Y31" t="s">
        <v>44</v>
      </c>
      <c r="Z31">
        <v>210300</v>
      </c>
      <c r="AA31" t="s">
        <v>81</v>
      </c>
      <c r="AB31" t="s">
        <v>82</v>
      </c>
      <c r="AC31">
        <v>2</v>
      </c>
      <c r="AG31" t="s">
        <v>73</v>
      </c>
      <c r="AH31" t="s">
        <v>74</v>
      </c>
      <c r="AI31" t="s">
        <v>75</v>
      </c>
      <c r="AJ31">
        <v>966.27062549135758</v>
      </c>
    </row>
    <row r="32" spans="1:41" x14ac:dyDescent="0.3">
      <c r="A32" t="s">
        <v>72</v>
      </c>
      <c r="B32">
        <v>2025</v>
      </c>
      <c r="C32">
        <v>3</v>
      </c>
      <c r="D32" t="s">
        <v>91</v>
      </c>
      <c r="G32" t="s">
        <v>79</v>
      </c>
      <c r="H32" t="s">
        <v>32</v>
      </c>
      <c r="I32" t="s">
        <v>84</v>
      </c>
      <c r="J32" t="s">
        <v>32</v>
      </c>
      <c r="L32">
        <v>2024</v>
      </c>
      <c r="M32" t="s">
        <v>34</v>
      </c>
      <c r="N32" t="s">
        <v>35</v>
      </c>
      <c r="O32">
        <v>127160</v>
      </c>
      <c r="P32" t="s">
        <v>53</v>
      </c>
      <c r="Q32" t="s">
        <v>47</v>
      </c>
      <c r="R32">
        <v>2024</v>
      </c>
      <c r="S32" t="s">
        <v>38</v>
      </c>
      <c r="T32" t="s">
        <v>39</v>
      </c>
      <c r="V32" t="s">
        <v>40</v>
      </c>
      <c r="W32" t="s">
        <v>41</v>
      </c>
      <c r="X32" t="s">
        <v>43</v>
      </c>
      <c r="Y32" t="s">
        <v>44</v>
      </c>
      <c r="Z32">
        <v>210300</v>
      </c>
      <c r="AA32" t="s">
        <v>81</v>
      </c>
      <c r="AB32" t="s">
        <v>82</v>
      </c>
      <c r="AC32">
        <v>3</v>
      </c>
      <c r="AG32" t="s">
        <v>73</v>
      </c>
      <c r="AH32" t="s">
        <v>74</v>
      </c>
      <c r="AI32" t="s">
        <v>75</v>
      </c>
      <c r="AJ32">
        <v>309.69905072451212</v>
      </c>
    </row>
    <row r="33" spans="1:36" x14ac:dyDescent="0.3">
      <c r="A33" t="s">
        <v>72</v>
      </c>
      <c r="B33">
        <v>2025</v>
      </c>
      <c r="C33">
        <v>3</v>
      </c>
      <c r="D33" t="s">
        <v>91</v>
      </c>
      <c r="G33" t="s">
        <v>79</v>
      </c>
      <c r="H33" t="s">
        <v>32</v>
      </c>
      <c r="I33" t="s">
        <v>84</v>
      </c>
      <c r="J33" t="s">
        <v>32</v>
      </c>
      <c r="L33">
        <v>2024</v>
      </c>
      <c r="M33" t="s">
        <v>34</v>
      </c>
      <c r="N33" t="s">
        <v>35</v>
      </c>
      <c r="O33">
        <v>127160</v>
      </c>
      <c r="P33" t="s">
        <v>53</v>
      </c>
      <c r="Q33" t="s">
        <v>47</v>
      </c>
      <c r="R33">
        <v>2024</v>
      </c>
      <c r="S33" t="s">
        <v>38</v>
      </c>
      <c r="T33" t="s">
        <v>39</v>
      </c>
      <c r="V33" t="s">
        <v>40</v>
      </c>
      <c r="W33" t="s">
        <v>41</v>
      </c>
      <c r="X33" t="s">
        <v>43</v>
      </c>
      <c r="Y33" t="s">
        <v>44</v>
      </c>
      <c r="Z33">
        <v>210300</v>
      </c>
      <c r="AA33" t="s">
        <v>81</v>
      </c>
      <c r="AB33" t="s">
        <v>82</v>
      </c>
      <c r="AC33">
        <v>4</v>
      </c>
      <c r="AG33" t="s">
        <v>73</v>
      </c>
      <c r="AH33" t="s">
        <v>74</v>
      </c>
      <c r="AI33" t="s">
        <v>75</v>
      </c>
      <c r="AJ33">
        <v>3592.3813947879471</v>
      </c>
    </row>
    <row r="34" spans="1:36" x14ac:dyDescent="0.3">
      <c r="A34" t="s">
        <v>72</v>
      </c>
      <c r="B34">
        <v>2025</v>
      </c>
      <c r="C34">
        <v>3</v>
      </c>
      <c r="D34" t="s">
        <v>91</v>
      </c>
      <c r="G34" t="s">
        <v>79</v>
      </c>
      <c r="H34" t="s">
        <v>32</v>
      </c>
      <c r="I34" t="s">
        <v>84</v>
      </c>
      <c r="J34" t="s">
        <v>32</v>
      </c>
      <c r="L34">
        <v>2024</v>
      </c>
      <c r="M34" t="s">
        <v>34</v>
      </c>
      <c r="N34" t="s">
        <v>35</v>
      </c>
      <c r="O34">
        <v>127160</v>
      </c>
      <c r="P34" t="s">
        <v>53</v>
      </c>
      <c r="Q34" t="s">
        <v>47</v>
      </c>
      <c r="R34">
        <v>2024</v>
      </c>
      <c r="S34" t="s">
        <v>38</v>
      </c>
      <c r="T34" t="s">
        <v>39</v>
      </c>
      <c r="V34" t="s">
        <v>40</v>
      </c>
      <c r="W34" t="s">
        <v>41</v>
      </c>
      <c r="X34" t="s">
        <v>43</v>
      </c>
      <c r="Y34" t="s">
        <v>44</v>
      </c>
      <c r="Z34">
        <v>210300</v>
      </c>
      <c r="AA34" t="s">
        <v>81</v>
      </c>
      <c r="AB34" t="s">
        <v>82</v>
      </c>
      <c r="AC34">
        <v>5</v>
      </c>
      <c r="AG34" t="s">
        <v>73</v>
      </c>
      <c r="AH34" t="s">
        <v>74</v>
      </c>
      <c r="AI34" t="s">
        <v>75</v>
      </c>
      <c r="AJ34">
        <v>5319.7252342192478</v>
      </c>
    </row>
    <row r="35" spans="1:36" x14ac:dyDescent="0.3">
      <c r="A35" t="s">
        <v>72</v>
      </c>
      <c r="B35">
        <v>2025</v>
      </c>
      <c r="C35">
        <v>3</v>
      </c>
      <c r="D35" t="s">
        <v>91</v>
      </c>
      <c r="G35" t="s">
        <v>79</v>
      </c>
      <c r="H35" t="s">
        <v>32</v>
      </c>
      <c r="I35" t="s">
        <v>84</v>
      </c>
      <c r="J35" t="s">
        <v>32</v>
      </c>
      <c r="L35">
        <v>2024</v>
      </c>
      <c r="M35" t="s">
        <v>34</v>
      </c>
      <c r="N35" t="s">
        <v>35</v>
      </c>
      <c r="O35">
        <v>127160</v>
      </c>
      <c r="P35" t="s">
        <v>53</v>
      </c>
      <c r="Q35" t="s">
        <v>47</v>
      </c>
      <c r="R35">
        <v>2024</v>
      </c>
      <c r="S35" t="s">
        <v>38</v>
      </c>
      <c r="T35" t="s">
        <v>39</v>
      </c>
      <c r="V35" t="s">
        <v>40</v>
      </c>
      <c r="W35" t="s">
        <v>41</v>
      </c>
      <c r="X35" t="s">
        <v>43</v>
      </c>
      <c r="Y35" t="s">
        <v>44</v>
      </c>
      <c r="Z35">
        <v>210300</v>
      </c>
      <c r="AA35" t="s">
        <v>81</v>
      </c>
      <c r="AB35" t="s">
        <v>82</v>
      </c>
      <c r="AC35">
        <v>6</v>
      </c>
      <c r="AG35" t="s">
        <v>73</v>
      </c>
      <c r="AH35" t="s">
        <v>74</v>
      </c>
      <c r="AI35" t="s">
        <v>75</v>
      </c>
      <c r="AJ35">
        <v>5275.1856498305024</v>
      </c>
    </row>
    <row r="36" spans="1:36" x14ac:dyDescent="0.3">
      <c r="A36" t="s">
        <v>72</v>
      </c>
      <c r="B36">
        <v>2025</v>
      </c>
      <c r="C36">
        <v>3</v>
      </c>
      <c r="D36" t="s">
        <v>91</v>
      </c>
      <c r="G36" t="s">
        <v>79</v>
      </c>
      <c r="H36" t="s">
        <v>32</v>
      </c>
      <c r="I36" t="s">
        <v>84</v>
      </c>
      <c r="J36" t="s">
        <v>32</v>
      </c>
      <c r="L36">
        <v>2024</v>
      </c>
      <c r="M36" t="s">
        <v>34</v>
      </c>
      <c r="N36" t="s">
        <v>35</v>
      </c>
      <c r="O36">
        <v>127160</v>
      </c>
      <c r="P36" t="s">
        <v>53</v>
      </c>
      <c r="Q36" t="s">
        <v>47</v>
      </c>
      <c r="R36">
        <v>2024</v>
      </c>
      <c r="S36" t="s">
        <v>38</v>
      </c>
      <c r="T36" t="s">
        <v>39</v>
      </c>
      <c r="V36" t="s">
        <v>40</v>
      </c>
      <c r="W36" t="s">
        <v>41</v>
      </c>
      <c r="X36" t="s">
        <v>43</v>
      </c>
      <c r="Y36" t="s">
        <v>44</v>
      </c>
      <c r="Z36">
        <v>210300</v>
      </c>
      <c r="AA36" t="s">
        <v>81</v>
      </c>
      <c r="AB36" t="s">
        <v>82</v>
      </c>
      <c r="AC36">
        <v>7</v>
      </c>
      <c r="AG36" t="s">
        <v>73</v>
      </c>
      <c r="AH36" t="s">
        <v>74</v>
      </c>
      <c r="AI36" t="s">
        <v>75</v>
      </c>
      <c r="AJ36">
        <v>7620.8033790079508</v>
      </c>
    </row>
    <row r="37" spans="1:36" x14ac:dyDescent="0.3">
      <c r="A37" t="s">
        <v>72</v>
      </c>
      <c r="B37">
        <v>2025</v>
      </c>
      <c r="C37">
        <v>3</v>
      </c>
      <c r="D37" t="s">
        <v>91</v>
      </c>
      <c r="G37" t="s">
        <v>79</v>
      </c>
      <c r="H37" t="s">
        <v>32</v>
      </c>
      <c r="I37" t="s">
        <v>84</v>
      </c>
      <c r="J37" t="s">
        <v>32</v>
      </c>
      <c r="L37">
        <v>2024</v>
      </c>
      <c r="M37" t="s">
        <v>34</v>
      </c>
      <c r="N37" t="s">
        <v>35</v>
      </c>
      <c r="O37">
        <v>127160</v>
      </c>
      <c r="P37" t="s">
        <v>53</v>
      </c>
      <c r="Q37" t="s">
        <v>47</v>
      </c>
      <c r="R37">
        <v>2024</v>
      </c>
      <c r="S37" t="s">
        <v>38</v>
      </c>
      <c r="T37" t="s">
        <v>39</v>
      </c>
      <c r="V37" t="s">
        <v>40</v>
      </c>
      <c r="W37" t="s">
        <v>41</v>
      </c>
      <c r="X37" t="s">
        <v>43</v>
      </c>
      <c r="Y37" t="s">
        <v>44</v>
      </c>
      <c r="Z37">
        <v>210300</v>
      </c>
      <c r="AA37" t="s">
        <v>81</v>
      </c>
      <c r="AB37" t="s">
        <v>82</v>
      </c>
      <c r="AC37">
        <v>1</v>
      </c>
      <c r="AG37" t="s">
        <v>43</v>
      </c>
      <c r="AH37" t="s">
        <v>44</v>
      </c>
      <c r="AI37" t="s">
        <v>77</v>
      </c>
      <c r="AJ37">
        <v>5.4675291723273898E-3</v>
      </c>
    </row>
    <row r="38" spans="1:36" x14ac:dyDescent="0.3">
      <c r="A38" t="s">
        <v>72</v>
      </c>
      <c r="B38">
        <v>2025</v>
      </c>
      <c r="C38">
        <v>3</v>
      </c>
      <c r="D38" t="s">
        <v>91</v>
      </c>
      <c r="G38" t="s">
        <v>79</v>
      </c>
      <c r="H38" t="s">
        <v>32</v>
      </c>
      <c r="I38" t="s">
        <v>84</v>
      </c>
      <c r="J38" t="s">
        <v>32</v>
      </c>
      <c r="L38">
        <v>2024</v>
      </c>
      <c r="M38" t="s">
        <v>34</v>
      </c>
      <c r="N38" t="s">
        <v>35</v>
      </c>
      <c r="O38">
        <v>127160</v>
      </c>
      <c r="P38" t="s">
        <v>53</v>
      </c>
      <c r="Q38" t="s">
        <v>47</v>
      </c>
      <c r="R38">
        <v>2024</v>
      </c>
      <c r="S38" t="s">
        <v>38</v>
      </c>
      <c r="T38" t="s">
        <v>39</v>
      </c>
      <c r="V38" t="s">
        <v>40</v>
      </c>
      <c r="W38" t="s">
        <v>41</v>
      </c>
      <c r="X38" t="s">
        <v>43</v>
      </c>
      <c r="Y38" t="s">
        <v>44</v>
      </c>
      <c r="Z38">
        <v>210300</v>
      </c>
      <c r="AA38" t="s">
        <v>81</v>
      </c>
      <c r="AB38" t="s">
        <v>82</v>
      </c>
      <c r="AC38">
        <v>2</v>
      </c>
      <c r="AG38" t="s">
        <v>43</v>
      </c>
      <c r="AH38" t="s">
        <v>44</v>
      </c>
      <c r="AI38" t="s">
        <v>77</v>
      </c>
      <c r="AJ38">
        <v>6.1144567118772992E-3</v>
      </c>
    </row>
    <row r="39" spans="1:36" x14ac:dyDescent="0.3">
      <c r="A39" t="s">
        <v>72</v>
      </c>
      <c r="B39">
        <v>2025</v>
      </c>
      <c r="C39">
        <v>3</v>
      </c>
      <c r="D39" t="s">
        <v>91</v>
      </c>
      <c r="G39" t="s">
        <v>79</v>
      </c>
      <c r="H39" t="s">
        <v>32</v>
      </c>
      <c r="I39" t="s">
        <v>84</v>
      </c>
      <c r="J39" t="s">
        <v>32</v>
      </c>
      <c r="L39">
        <v>2024</v>
      </c>
      <c r="M39" t="s">
        <v>34</v>
      </c>
      <c r="N39" t="s">
        <v>35</v>
      </c>
      <c r="O39">
        <v>127160</v>
      </c>
      <c r="P39" t="s">
        <v>53</v>
      </c>
      <c r="Q39" t="s">
        <v>47</v>
      </c>
      <c r="R39">
        <v>2024</v>
      </c>
      <c r="S39" t="s">
        <v>38</v>
      </c>
      <c r="T39" t="s">
        <v>39</v>
      </c>
      <c r="V39" t="s">
        <v>40</v>
      </c>
      <c r="W39" t="s">
        <v>41</v>
      </c>
      <c r="X39" t="s">
        <v>43</v>
      </c>
      <c r="Y39" t="s">
        <v>44</v>
      </c>
      <c r="Z39">
        <v>210300</v>
      </c>
      <c r="AA39" t="s">
        <v>81</v>
      </c>
      <c r="AB39" t="s">
        <v>82</v>
      </c>
      <c r="AC39">
        <v>3</v>
      </c>
      <c r="AG39" t="s">
        <v>43</v>
      </c>
      <c r="AH39" t="s">
        <v>44</v>
      </c>
      <c r="AI39" t="s">
        <v>77</v>
      </c>
      <c r="AJ39">
        <v>6.9160162542765101E-3</v>
      </c>
    </row>
    <row r="40" spans="1:36" x14ac:dyDescent="0.3">
      <c r="A40" t="s">
        <v>72</v>
      </c>
      <c r="B40">
        <v>2025</v>
      </c>
      <c r="C40">
        <v>3</v>
      </c>
      <c r="D40" t="s">
        <v>91</v>
      </c>
      <c r="G40" t="s">
        <v>79</v>
      </c>
      <c r="H40" t="s">
        <v>32</v>
      </c>
      <c r="I40" t="s">
        <v>84</v>
      </c>
      <c r="J40" t="s">
        <v>32</v>
      </c>
      <c r="L40">
        <v>2024</v>
      </c>
      <c r="M40" t="s">
        <v>34</v>
      </c>
      <c r="N40" t="s">
        <v>35</v>
      </c>
      <c r="O40">
        <v>127160</v>
      </c>
      <c r="P40" t="s">
        <v>53</v>
      </c>
      <c r="Q40" t="s">
        <v>47</v>
      </c>
      <c r="R40">
        <v>2024</v>
      </c>
      <c r="S40" t="s">
        <v>38</v>
      </c>
      <c r="T40" t="s">
        <v>39</v>
      </c>
      <c r="V40" t="s">
        <v>40</v>
      </c>
      <c r="W40" t="s">
        <v>41</v>
      </c>
      <c r="X40" t="s">
        <v>43</v>
      </c>
      <c r="Y40" t="s">
        <v>44</v>
      </c>
      <c r="Z40">
        <v>210300</v>
      </c>
      <c r="AA40" t="s">
        <v>81</v>
      </c>
      <c r="AB40" t="s">
        <v>82</v>
      </c>
      <c r="AC40">
        <v>4</v>
      </c>
      <c r="AG40" t="s">
        <v>43</v>
      </c>
      <c r="AH40" t="s">
        <v>44</v>
      </c>
      <c r="AI40" t="s">
        <v>77</v>
      </c>
      <c r="AJ40">
        <v>7.4743746738224134E-3</v>
      </c>
    </row>
    <row r="41" spans="1:36" x14ac:dyDescent="0.3">
      <c r="A41" t="s">
        <v>72</v>
      </c>
      <c r="B41">
        <v>2025</v>
      </c>
      <c r="C41">
        <v>3</v>
      </c>
      <c r="D41" t="s">
        <v>91</v>
      </c>
      <c r="G41" t="s">
        <v>79</v>
      </c>
      <c r="H41" t="s">
        <v>32</v>
      </c>
      <c r="I41" t="s">
        <v>84</v>
      </c>
      <c r="J41" t="s">
        <v>32</v>
      </c>
      <c r="L41">
        <v>2024</v>
      </c>
      <c r="M41" t="s">
        <v>34</v>
      </c>
      <c r="N41" t="s">
        <v>35</v>
      </c>
      <c r="O41">
        <v>127160</v>
      </c>
      <c r="P41" t="s">
        <v>53</v>
      </c>
      <c r="Q41" t="s">
        <v>47</v>
      </c>
      <c r="R41">
        <v>2024</v>
      </c>
      <c r="S41" t="s">
        <v>38</v>
      </c>
      <c r="T41" t="s">
        <v>39</v>
      </c>
      <c r="V41" t="s">
        <v>40</v>
      </c>
      <c r="W41" t="s">
        <v>41</v>
      </c>
      <c r="X41" t="s">
        <v>43</v>
      </c>
      <c r="Y41" t="s">
        <v>44</v>
      </c>
      <c r="Z41">
        <v>210300</v>
      </c>
      <c r="AA41" t="s">
        <v>81</v>
      </c>
      <c r="AB41" t="s">
        <v>82</v>
      </c>
      <c r="AC41">
        <v>5</v>
      </c>
      <c r="AG41" t="s">
        <v>43</v>
      </c>
      <c r="AH41" t="s">
        <v>44</v>
      </c>
      <c r="AI41" t="s">
        <v>77</v>
      </c>
      <c r="AJ41">
        <v>8.3492896233372631E-3</v>
      </c>
    </row>
    <row r="42" spans="1:36" x14ac:dyDescent="0.3">
      <c r="A42" t="s">
        <v>72</v>
      </c>
      <c r="B42">
        <v>2025</v>
      </c>
      <c r="C42">
        <v>3</v>
      </c>
      <c r="D42" t="s">
        <v>91</v>
      </c>
      <c r="G42" t="s">
        <v>79</v>
      </c>
      <c r="H42" t="s">
        <v>32</v>
      </c>
      <c r="I42" t="s">
        <v>84</v>
      </c>
      <c r="J42" t="s">
        <v>32</v>
      </c>
      <c r="L42">
        <v>2024</v>
      </c>
      <c r="M42" t="s">
        <v>34</v>
      </c>
      <c r="N42" t="s">
        <v>35</v>
      </c>
      <c r="O42">
        <v>127160</v>
      </c>
      <c r="P42" t="s">
        <v>53</v>
      </c>
      <c r="Q42" t="s">
        <v>47</v>
      </c>
      <c r="R42">
        <v>2024</v>
      </c>
      <c r="S42" t="s">
        <v>38</v>
      </c>
      <c r="T42" t="s">
        <v>39</v>
      </c>
      <c r="V42" t="s">
        <v>40</v>
      </c>
      <c r="W42" t="s">
        <v>41</v>
      </c>
      <c r="X42" t="s">
        <v>43</v>
      </c>
      <c r="Y42" t="s">
        <v>44</v>
      </c>
      <c r="Z42">
        <v>210300</v>
      </c>
      <c r="AA42" t="s">
        <v>81</v>
      </c>
      <c r="AB42" t="s">
        <v>82</v>
      </c>
      <c r="AC42">
        <v>6</v>
      </c>
      <c r="AG42" t="s">
        <v>43</v>
      </c>
      <c r="AH42" t="s">
        <v>44</v>
      </c>
      <c r="AI42" t="s">
        <v>77</v>
      </c>
      <c r="AJ42">
        <v>9.8292469555517105E-3</v>
      </c>
    </row>
    <row r="43" spans="1:36" x14ac:dyDescent="0.3">
      <c r="A43" t="s">
        <v>72</v>
      </c>
      <c r="B43">
        <v>2025</v>
      </c>
      <c r="C43">
        <v>3</v>
      </c>
      <c r="D43" t="s">
        <v>91</v>
      </c>
      <c r="G43" t="s">
        <v>79</v>
      </c>
      <c r="H43" t="s">
        <v>32</v>
      </c>
      <c r="I43" t="s">
        <v>84</v>
      </c>
      <c r="J43" t="s">
        <v>32</v>
      </c>
      <c r="L43">
        <v>2024</v>
      </c>
      <c r="M43" t="s">
        <v>34</v>
      </c>
      <c r="N43" t="s">
        <v>35</v>
      </c>
      <c r="O43">
        <v>127160</v>
      </c>
      <c r="P43" t="s">
        <v>53</v>
      </c>
      <c r="Q43" t="s">
        <v>47</v>
      </c>
      <c r="R43">
        <v>2024</v>
      </c>
      <c r="S43" t="s">
        <v>38</v>
      </c>
      <c r="T43" t="s">
        <v>39</v>
      </c>
      <c r="V43" t="s">
        <v>40</v>
      </c>
      <c r="W43" t="s">
        <v>41</v>
      </c>
      <c r="X43" t="s">
        <v>43</v>
      </c>
      <c r="Y43" t="s">
        <v>44</v>
      </c>
      <c r="Z43">
        <v>210300</v>
      </c>
      <c r="AA43" t="s">
        <v>81</v>
      </c>
      <c r="AB43" t="s">
        <v>82</v>
      </c>
      <c r="AC43">
        <v>7</v>
      </c>
      <c r="AG43" t="s">
        <v>43</v>
      </c>
      <c r="AH43" t="s">
        <v>44</v>
      </c>
      <c r="AI43" t="s">
        <v>77</v>
      </c>
      <c r="AJ43">
        <v>9.9092977904625713E-3</v>
      </c>
    </row>
    <row r="44" spans="1:36" x14ac:dyDescent="0.3">
      <c r="A44" t="s">
        <v>72</v>
      </c>
      <c r="B44">
        <v>2025</v>
      </c>
      <c r="C44">
        <v>3</v>
      </c>
      <c r="D44" t="s">
        <v>91</v>
      </c>
      <c r="G44" t="s">
        <v>78</v>
      </c>
      <c r="H44" t="s">
        <v>32</v>
      </c>
      <c r="I44" t="s">
        <v>33</v>
      </c>
      <c r="J44" t="s">
        <v>32</v>
      </c>
      <c r="L44">
        <v>2023</v>
      </c>
      <c r="M44" t="s">
        <v>34</v>
      </c>
      <c r="N44" t="s">
        <v>35</v>
      </c>
      <c r="O44">
        <v>127160</v>
      </c>
      <c r="P44" t="s">
        <v>53</v>
      </c>
      <c r="Q44" t="s">
        <v>37</v>
      </c>
      <c r="R44">
        <v>1</v>
      </c>
      <c r="S44" t="s">
        <v>38</v>
      </c>
      <c r="T44" t="s">
        <v>52</v>
      </c>
      <c r="V44" t="s">
        <v>40</v>
      </c>
      <c r="W44" t="s">
        <v>41</v>
      </c>
      <c r="X44" t="s">
        <v>43</v>
      </c>
      <c r="Y44" t="s">
        <v>44</v>
      </c>
      <c r="Z44">
        <v>32665.5</v>
      </c>
      <c r="AA44" t="s">
        <v>81</v>
      </c>
      <c r="AB44" t="s">
        <v>82</v>
      </c>
      <c r="AC44">
        <v>1</v>
      </c>
      <c r="AG44" t="s">
        <v>73</v>
      </c>
      <c r="AH44" t="s">
        <v>74</v>
      </c>
      <c r="AI44" t="s">
        <v>75</v>
      </c>
      <c r="AJ44">
        <v>102.70641721467223</v>
      </c>
    </row>
    <row r="45" spans="1:36" x14ac:dyDescent="0.3">
      <c r="A45" t="s">
        <v>72</v>
      </c>
      <c r="B45">
        <v>2025</v>
      </c>
      <c r="C45">
        <v>3</v>
      </c>
      <c r="D45" t="s">
        <v>91</v>
      </c>
      <c r="G45" t="s">
        <v>78</v>
      </c>
      <c r="H45" t="s">
        <v>32</v>
      </c>
      <c r="I45" t="s">
        <v>33</v>
      </c>
      <c r="J45" t="s">
        <v>32</v>
      </c>
      <c r="L45">
        <v>2023</v>
      </c>
      <c r="M45" t="s">
        <v>34</v>
      </c>
      <c r="N45" t="s">
        <v>35</v>
      </c>
      <c r="O45">
        <v>127160</v>
      </c>
      <c r="P45" t="s">
        <v>53</v>
      </c>
      <c r="Q45" t="s">
        <v>37</v>
      </c>
      <c r="R45">
        <v>1</v>
      </c>
      <c r="S45" t="s">
        <v>38</v>
      </c>
      <c r="T45" t="s">
        <v>52</v>
      </c>
      <c r="V45" t="s">
        <v>40</v>
      </c>
      <c r="W45" t="s">
        <v>41</v>
      </c>
      <c r="X45" t="s">
        <v>43</v>
      </c>
      <c r="Y45" t="s">
        <v>44</v>
      </c>
      <c r="Z45">
        <v>32665.5</v>
      </c>
      <c r="AA45" t="s">
        <v>81</v>
      </c>
      <c r="AB45" t="s">
        <v>82</v>
      </c>
      <c r="AC45">
        <v>2</v>
      </c>
      <c r="AG45" t="s">
        <v>73</v>
      </c>
      <c r="AH45" t="s">
        <v>74</v>
      </c>
      <c r="AI45" t="s">
        <v>75</v>
      </c>
      <c r="AJ45">
        <v>150.08898296237729</v>
      </c>
    </row>
    <row r="46" spans="1:36" x14ac:dyDescent="0.3">
      <c r="A46" t="s">
        <v>72</v>
      </c>
      <c r="B46">
        <v>2025</v>
      </c>
      <c r="C46">
        <v>3</v>
      </c>
      <c r="D46" t="s">
        <v>91</v>
      </c>
      <c r="G46" t="s">
        <v>78</v>
      </c>
      <c r="H46" t="s">
        <v>32</v>
      </c>
      <c r="I46" t="s">
        <v>33</v>
      </c>
      <c r="J46" t="s">
        <v>32</v>
      </c>
      <c r="L46">
        <v>2023</v>
      </c>
      <c r="M46" t="s">
        <v>34</v>
      </c>
      <c r="N46" t="s">
        <v>35</v>
      </c>
      <c r="O46">
        <v>127160</v>
      </c>
      <c r="P46" t="s">
        <v>53</v>
      </c>
      <c r="Q46" t="s">
        <v>37</v>
      </c>
      <c r="R46">
        <v>1</v>
      </c>
      <c r="S46" t="s">
        <v>38</v>
      </c>
      <c r="T46" t="s">
        <v>52</v>
      </c>
      <c r="V46" t="s">
        <v>40</v>
      </c>
      <c r="W46" t="s">
        <v>41</v>
      </c>
      <c r="X46" t="s">
        <v>43</v>
      </c>
      <c r="Y46" t="s">
        <v>44</v>
      </c>
      <c r="Z46">
        <v>32665.5</v>
      </c>
      <c r="AA46" t="s">
        <v>81</v>
      </c>
      <c r="AB46" t="s">
        <v>82</v>
      </c>
      <c r="AC46">
        <v>3</v>
      </c>
      <c r="AG46" t="s">
        <v>73</v>
      </c>
      <c r="AH46" t="s">
        <v>74</v>
      </c>
      <c r="AI46" t="s">
        <v>75</v>
      </c>
      <c r="AJ46">
        <v>48.104965960254646</v>
      </c>
    </row>
    <row r="47" spans="1:36" x14ac:dyDescent="0.3">
      <c r="A47" t="s">
        <v>72</v>
      </c>
      <c r="B47">
        <v>2025</v>
      </c>
      <c r="C47">
        <v>3</v>
      </c>
      <c r="D47" t="s">
        <v>91</v>
      </c>
      <c r="G47" t="s">
        <v>78</v>
      </c>
      <c r="H47" t="s">
        <v>32</v>
      </c>
      <c r="I47" t="s">
        <v>33</v>
      </c>
      <c r="J47" t="s">
        <v>32</v>
      </c>
      <c r="L47">
        <v>2023</v>
      </c>
      <c r="M47" t="s">
        <v>34</v>
      </c>
      <c r="N47" t="s">
        <v>35</v>
      </c>
      <c r="O47">
        <v>127160</v>
      </c>
      <c r="P47" t="s">
        <v>53</v>
      </c>
      <c r="Q47" t="s">
        <v>37</v>
      </c>
      <c r="R47">
        <v>1</v>
      </c>
      <c r="S47" t="s">
        <v>38</v>
      </c>
      <c r="T47" t="s">
        <v>52</v>
      </c>
      <c r="V47" t="s">
        <v>40</v>
      </c>
      <c r="W47" t="s">
        <v>41</v>
      </c>
      <c r="X47" t="s">
        <v>43</v>
      </c>
      <c r="Y47" t="s">
        <v>44</v>
      </c>
      <c r="Z47">
        <v>32665.5</v>
      </c>
      <c r="AA47" t="s">
        <v>81</v>
      </c>
      <c r="AB47" t="s">
        <v>82</v>
      </c>
      <c r="AC47">
        <v>4</v>
      </c>
      <c r="AG47" t="s">
        <v>73</v>
      </c>
      <c r="AH47" t="s">
        <v>74</v>
      </c>
      <c r="AI47" t="s">
        <v>75</v>
      </c>
      <c r="AJ47">
        <v>557.99778626460147</v>
      </c>
    </row>
    <row r="48" spans="1:36" x14ac:dyDescent="0.3">
      <c r="A48" t="s">
        <v>72</v>
      </c>
      <c r="B48">
        <v>2025</v>
      </c>
      <c r="C48">
        <v>3</v>
      </c>
      <c r="D48" t="s">
        <v>91</v>
      </c>
      <c r="G48" t="s">
        <v>78</v>
      </c>
      <c r="H48" t="s">
        <v>32</v>
      </c>
      <c r="I48" t="s">
        <v>33</v>
      </c>
      <c r="J48" t="s">
        <v>32</v>
      </c>
      <c r="L48">
        <v>2023</v>
      </c>
      <c r="M48" t="s">
        <v>34</v>
      </c>
      <c r="N48" t="s">
        <v>35</v>
      </c>
      <c r="O48">
        <v>127160</v>
      </c>
      <c r="P48" t="s">
        <v>53</v>
      </c>
      <c r="Q48" t="s">
        <v>37</v>
      </c>
      <c r="R48">
        <v>1</v>
      </c>
      <c r="S48" t="s">
        <v>38</v>
      </c>
      <c r="T48" t="s">
        <v>52</v>
      </c>
      <c r="V48" t="s">
        <v>40</v>
      </c>
      <c r="W48" t="s">
        <v>41</v>
      </c>
      <c r="X48" t="s">
        <v>43</v>
      </c>
      <c r="Y48" t="s">
        <v>44</v>
      </c>
      <c r="Z48">
        <v>32665.5</v>
      </c>
      <c r="AA48" t="s">
        <v>81</v>
      </c>
      <c r="AB48" t="s">
        <v>82</v>
      </c>
      <c r="AC48">
        <v>5</v>
      </c>
      <c r="AG48" t="s">
        <v>73</v>
      </c>
      <c r="AH48" t="s">
        <v>74</v>
      </c>
      <c r="AI48" t="s">
        <v>75</v>
      </c>
      <c r="AJ48">
        <v>826.302827571987</v>
      </c>
    </row>
    <row r="49" spans="1:36" x14ac:dyDescent="0.3">
      <c r="A49" t="s">
        <v>72</v>
      </c>
      <c r="B49">
        <v>2025</v>
      </c>
      <c r="C49">
        <v>3</v>
      </c>
      <c r="D49" t="s">
        <v>91</v>
      </c>
      <c r="G49" t="s">
        <v>78</v>
      </c>
      <c r="H49" t="s">
        <v>32</v>
      </c>
      <c r="I49" t="s">
        <v>33</v>
      </c>
      <c r="J49" t="s">
        <v>32</v>
      </c>
      <c r="L49">
        <v>2023</v>
      </c>
      <c r="M49" t="s">
        <v>34</v>
      </c>
      <c r="N49" t="s">
        <v>35</v>
      </c>
      <c r="O49">
        <v>127160</v>
      </c>
      <c r="P49" t="s">
        <v>53</v>
      </c>
      <c r="Q49" t="s">
        <v>37</v>
      </c>
      <c r="R49">
        <v>1</v>
      </c>
      <c r="S49" t="s">
        <v>38</v>
      </c>
      <c r="T49" t="s">
        <v>52</v>
      </c>
      <c r="V49" t="s">
        <v>40</v>
      </c>
      <c r="W49" t="s">
        <v>41</v>
      </c>
      <c r="X49" t="s">
        <v>43</v>
      </c>
      <c r="Y49" t="s">
        <v>44</v>
      </c>
      <c r="Z49">
        <v>32665.5</v>
      </c>
      <c r="AA49" t="s">
        <v>81</v>
      </c>
      <c r="AB49" t="s">
        <v>82</v>
      </c>
      <c r="AC49">
        <v>6</v>
      </c>
      <c r="AG49" t="s">
        <v>73</v>
      </c>
      <c r="AH49" t="s">
        <v>74</v>
      </c>
      <c r="AI49" t="s">
        <v>75</v>
      </c>
      <c r="AJ49">
        <v>819.38457843337267</v>
      </c>
    </row>
    <row r="50" spans="1:36" x14ac:dyDescent="0.3">
      <c r="A50" t="s">
        <v>72</v>
      </c>
      <c r="B50">
        <v>2025</v>
      </c>
      <c r="C50">
        <v>3</v>
      </c>
      <c r="D50" t="s">
        <v>91</v>
      </c>
      <c r="G50" t="s">
        <v>78</v>
      </c>
      <c r="H50" t="s">
        <v>32</v>
      </c>
      <c r="I50" t="s">
        <v>33</v>
      </c>
      <c r="J50" t="s">
        <v>32</v>
      </c>
      <c r="L50">
        <v>2023</v>
      </c>
      <c r="M50" t="s">
        <v>34</v>
      </c>
      <c r="N50" t="s">
        <v>35</v>
      </c>
      <c r="O50">
        <v>127160</v>
      </c>
      <c r="P50" t="s">
        <v>53</v>
      </c>
      <c r="Q50" t="s">
        <v>37</v>
      </c>
      <c r="R50">
        <v>1</v>
      </c>
      <c r="S50" t="s">
        <v>38</v>
      </c>
      <c r="T50" t="s">
        <v>52</v>
      </c>
      <c r="V50" t="s">
        <v>40</v>
      </c>
      <c r="W50" t="s">
        <v>41</v>
      </c>
      <c r="X50" t="s">
        <v>43</v>
      </c>
      <c r="Y50" t="s">
        <v>44</v>
      </c>
      <c r="Z50">
        <v>32665.5</v>
      </c>
      <c r="AA50" t="s">
        <v>81</v>
      </c>
      <c r="AB50" t="s">
        <v>82</v>
      </c>
      <c r="AC50">
        <v>7</v>
      </c>
      <c r="AG50" t="s">
        <v>73</v>
      </c>
      <c r="AH50" t="s">
        <v>74</v>
      </c>
      <c r="AI50" t="s">
        <v>75</v>
      </c>
      <c r="AJ50">
        <v>1183.7249299904147</v>
      </c>
    </row>
    <row r="51" spans="1:36" x14ac:dyDescent="0.3">
      <c r="A51" t="s">
        <v>72</v>
      </c>
      <c r="B51">
        <v>2025</v>
      </c>
      <c r="C51">
        <v>3</v>
      </c>
      <c r="D51" t="s">
        <v>91</v>
      </c>
      <c r="G51" t="s">
        <v>78</v>
      </c>
      <c r="H51" t="s">
        <v>32</v>
      </c>
      <c r="I51" t="s">
        <v>33</v>
      </c>
      <c r="J51" t="s">
        <v>32</v>
      </c>
      <c r="L51">
        <v>2023</v>
      </c>
      <c r="M51" t="s">
        <v>34</v>
      </c>
      <c r="N51" t="s">
        <v>35</v>
      </c>
      <c r="O51">
        <v>127160</v>
      </c>
      <c r="P51" t="s">
        <v>53</v>
      </c>
      <c r="Q51" t="s">
        <v>37</v>
      </c>
      <c r="R51">
        <v>1</v>
      </c>
      <c r="S51" t="s">
        <v>38</v>
      </c>
      <c r="T51" t="s">
        <v>52</v>
      </c>
      <c r="V51" t="s">
        <v>40</v>
      </c>
      <c r="W51" t="s">
        <v>41</v>
      </c>
      <c r="X51" t="s">
        <v>43</v>
      </c>
      <c r="Y51" t="s">
        <v>44</v>
      </c>
      <c r="Z51">
        <v>32665.5</v>
      </c>
      <c r="AA51" t="s">
        <v>81</v>
      </c>
      <c r="AB51" t="s">
        <v>82</v>
      </c>
      <c r="AC51">
        <v>1</v>
      </c>
      <c r="AG51" t="s">
        <v>43</v>
      </c>
      <c r="AH51" t="s">
        <v>44</v>
      </c>
      <c r="AI51" t="s">
        <v>77</v>
      </c>
      <c r="AJ51">
        <v>5.4675291723273898E-3</v>
      </c>
    </row>
    <row r="52" spans="1:36" x14ac:dyDescent="0.3">
      <c r="A52" t="s">
        <v>72</v>
      </c>
      <c r="B52">
        <v>2025</v>
      </c>
      <c r="C52">
        <v>3</v>
      </c>
      <c r="D52" t="s">
        <v>91</v>
      </c>
      <c r="G52" t="s">
        <v>78</v>
      </c>
      <c r="H52" t="s">
        <v>32</v>
      </c>
      <c r="I52" t="s">
        <v>33</v>
      </c>
      <c r="J52" t="s">
        <v>32</v>
      </c>
      <c r="L52">
        <v>2023</v>
      </c>
      <c r="M52" t="s">
        <v>34</v>
      </c>
      <c r="N52" t="s">
        <v>35</v>
      </c>
      <c r="O52">
        <v>127160</v>
      </c>
      <c r="P52" t="s">
        <v>53</v>
      </c>
      <c r="Q52" t="s">
        <v>37</v>
      </c>
      <c r="R52">
        <v>1</v>
      </c>
      <c r="S52" t="s">
        <v>38</v>
      </c>
      <c r="T52" t="s">
        <v>52</v>
      </c>
      <c r="V52" t="s">
        <v>40</v>
      </c>
      <c r="W52" t="s">
        <v>41</v>
      </c>
      <c r="X52" t="s">
        <v>43</v>
      </c>
      <c r="Y52" t="s">
        <v>44</v>
      </c>
      <c r="Z52">
        <v>32665.5</v>
      </c>
      <c r="AA52" t="s">
        <v>81</v>
      </c>
      <c r="AB52" t="s">
        <v>82</v>
      </c>
      <c r="AC52">
        <v>2</v>
      </c>
      <c r="AG52" t="s">
        <v>43</v>
      </c>
      <c r="AH52" t="s">
        <v>44</v>
      </c>
      <c r="AI52" t="s">
        <v>77</v>
      </c>
      <c r="AJ52">
        <v>6.1144567118772992E-3</v>
      </c>
    </row>
    <row r="53" spans="1:36" x14ac:dyDescent="0.3">
      <c r="A53" t="s">
        <v>72</v>
      </c>
      <c r="B53">
        <v>2025</v>
      </c>
      <c r="C53">
        <v>3</v>
      </c>
      <c r="D53" t="s">
        <v>91</v>
      </c>
      <c r="G53" t="s">
        <v>78</v>
      </c>
      <c r="H53" t="s">
        <v>32</v>
      </c>
      <c r="I53" t="s">
        <v>33</v>
      </c>
      <c r="J53" t="s">
        <v>32</v>
      </c>
      <c r="L53">
        <v>2023</v>
      </c>
      <c r="M53" t="s">
        <v>34</v>
      </c>
      <c r="N53" t="s">
        <v>35</v>
      </c>
      <c r="O53">
        <v>127160</v>
      </c>
      <c r="P53" t="s">
        <v>53</v>
      </c>
      <c r="Q53" t="s">
        <v>37</v>
      </c>
      <c r="R53">
        <v>1</v>
      </c>
      <c r="S53" t="s">
        <v>38</v>
      </c>
      <c r="T53" t="s">
        <v>52</v>
      </c>
      <c r="V53" t="s">
        <v>40</v>
      </c>
      <c r="W53" t="s">
        <v>41</v>
      </c>
      <c r="X53" t="s">
        <v>43</v>
      </c>
      <c r="Y53" t="s">
        <v>44</v>
      </c>
      <c r="Z53">
        <v>32665.5</v>
      </c>
      <c r="AA53" t="s">
        <v>81</v>
      </c>
      <c r="AB53" t="s">
        <v>82</v>
      </c>
      <c r="AC53">
        <v>3</v>
      </c>
      <c r="AG53" t="s">
        <v>43</v>
      </c>
      <c r="AH53" t="s">
        <v>44</v>
      </c>
      <c r="AI53" t="s">
        <v>77</v>
      </c>
      <c r="AJ53">
        <v>6.9160162542765101E-3</v>
      </c>
    </row>
    <row r="54" spans="1:36" x14ac:dyDescent="0.3">
      <c r="A54" t="s">
        <v>72</v>
      </c>
      <c r="B54">
        <v>2025</v>
      </c>
      <c r="C54">
        <v>3</v>
      </c>
      <c r="D54" t="s">
        <v>91</v>
      </c>
      <c r="G54" t="s">
        <v>78</v>
      </c>
      <c r="H54" t="s">
        <v>32</v>
      </c>
      <c r="I54" t="s">
        <v>33</v>
      </c>
      <c r="J54" t="s">
        <v>32</v>
      </c>
      <c r="L54">
        <v>2023</v>
      </c>
      <c r="M54" t="s">
        <v>34</v>
      </c>
      <c r="N54" t="s">
        <v>35</v>
      </c>
      <c r="O54">
        <v>127160</v>
      </c>
      <c r="P54" t="s">
        <v>53</v>
      </c>
      <c r="Q54" t="s">
        <v>37</v>
      </c>
      <c r="R54">
        <v>1</v>
      </c>
      <c r="S54" t="s">
        <v>38</v>
      </c>
      <c r="T54" t="s">
        <v>52</v>
      </c>
      <c r="V54" t="s">
        <v>40</v>
      </c>
      <c r="W54" t="s">
        <v>41</v>
      </c>
      <c r="X54" t="s">
        <v>43</v>
      </c>
      <c r="Y54" t="s">
        <v>44</v>
      </c>
      <c r="Z54">
        <v>32665.5</v>
      </c>
      <c r="AA54" t="s">
        <v>81</v>
      </c>
      <c r="AB54" t="s">
        <v>82</v>
      </c>
      <c r="AC54">
        <v>4</v>
      </c>
      <c r="AG54" t="s">
        <v>43</v>
      </c>
      <c r="AH54" t="s">
        <v>44</v>
      </c>
      <c r="AI54" t="s">
        <v>77</v>
      </c>
      <c r="AJ54">
        <v>7.4743746738224134E-3</v>
      </c>
    </row>
    <row r="55" spans="1:36" x14ac:dyDescent="0.3">
      <c r="A55" t="s">
        <v>72</v>
      </c>
      <c r="B55">
        <v>2025</v>
      </c>
      <c r="C55">
        <v>3</v>
      </c>
      <c r="D55" t="s">
        <v>91</v>
      </c>
      <c r="G55" t="s">
        <v>78</v>
      </c>
      <c r="H55" t="s">
        <v>32</v>
      </c>
      <c r="I55" t="s">
        <v>33</v>
      </c>
      <c r="J55" t="s">
        <v>32</v>
      </c>
      <c r="L55">
        <v>2023</v>
      </c>
      <c r="M55" t="s">
        <v>34</v>
      </c>
      <c r="N55" t="s">
        <v>35</v>
      </c>
      <c r="O55">
        <v>127160</v>
      </c>
      <c r="P55" t="s">
        <v>53</v>
      </c>
      <c r="Q55" t="s">
        <v>37</v>
      </c>
      <c r="R55">
        <v>1</v>
      </c>
      <c r="S55" t="s">
        <v>38</v>
      </c>
      <c r="T55" t="s">
        <v>52</v>
      </c>
      <c r="V55" t="s">
        <v>40</v>
      </c>
      <c r="W55" t="s">
        <v>41</v>
      </c>
      <c r="X55" t="s">
        <v>43</v>
      </c>
      <c r="Y55" t="s">
        <v>44</v>
      </c>
      <c r="Z55">
        <v>32665.5</v>
      </c>
      <c r="AA55" t="s">
        <v>81</v>
      </c>
      <c r="AB55" t="s">
        <v>82</v>
      </c>
      <c r="AC55">
        <v>5</v>
      </c>
      <c r="AG55" t="s">
        <v>43</v>
      </c>
      <c r="AH55" t="s">
        <v>44</v>
      </c>
      <c r="AI55" t="s">
        <v>77</v>
      </c>
      <c r="AJ55">
        <v>8.3492896233372631E-3</v>
      </c>
    </row>
    <row r="56" spans="1:36" x14ac:dyDescent="0.3">
      <c r="A56" t="s">
        <v>72</v>
      </c>
      <c r="B56">
        <v>2025</v>
      </c>
      <c r="C56">
        <v>3</v>
      </c>
      <c r="D56" t="s">
        <v>91</v>
      </c>
      <c r="G56" t="s">
        <v>78</v>
      </c>
      <c r="H56" t="s">
        <v>32</v>
      </c>
      <c r="I56" t="s">
        <v>33</v>
      </c>
      <c r="J56" t="s">
        <v>32</v>
      </c>
      <c r="L56">
        <v>2023</v>
      </c>
      <c r="M56" t="s">
        <v>34</v>
      </c>
      <c r="N56" t="s">
        <v>35</v>
      </c>
      <c r="O56">
        <v>127160</v>
      </c>
      <c r="P56" t="s">
        <v>53</v>
      </c>
      <c r="Q56" t="s">
        <v>37</v>
      </c>
      <c r="R56">
        <v>1</v>
      </c>
      <c r="S56" t="s">
        <v>38</v>
      </c>
      <c r="T56" t="s">
        <v>52</v>
      </c>
      <c r="V56" t="s">
        <v>40</v>
      </c>
      <c r="W56" t="s">
        <v>41</v>
      </c>
      <c r="X56" t="s">
        <v>43</v>
      </c>
      <c r="Y56" t="s">
        <v>44</v>
      </c>
      <c r="Z56">
        <v>32665.5</v>
      </c>
      <c r="AA56" t="s">
        <v>81</v>
      </c>
      <c r="AB56" t="s">
        <v>82</v>
      </c>
      <c r="AC56">
        <v>6</v>
      </c>
      <c r="AG56" t="s">
        <v>43</v>
      </c>
      <c r="AH56" t="s">
        <v>44</v>
      </c>
      <c r="AI56" t="s">
        <v>77</v>
      </c>
      <c r="AJ56">
        <v>9.8292469555517105E-3</v>
      </c>
    </row>
    <row r="57" spans="1:36" x14ac:dyDescent="0.3">
      <c r="A57" t="s">
        <v>72</v>
      </c>
      <c r="B57">
        <v>2025</v>
      </c>
      <c r="C57">
        <v>3</v>
      </c>
      <c r="D57" t="s">
        <v>91</v>
      </c>
      <c r="G57" t="s">
        <v>78</v>
      </c>
      <c r="H57" t="s">
        <v>32</v>
      </c>
      <c r="I57" t="s">
        <v>33</v>
      </c>
      <c r="J57" t="s">
        <v>32</v>
      </c>
      <c r="L57">
        <v>2023</v>
      </c>
      <c r="M57" t="s">
        <v>34</v>
      </c>
      <c r="N57" t="s">
        <v>35</v>
      </c>
      <c r="O57">
        <v>127160</v>
      </c>
      <c r="P57" t="s">
        <v>53</v>
      </c>
      <c r="Q57" t="s">
        <v>37</v>
      </c>
      <c r="R57">
        <v>1</v>
      </c>
      <c r="S57" t="s">
        <v>38</v>
      </c>
      <c r="T57" t="s">
        <v>52</v>
      </c>
      <c r="V57" t="s">
        <v>40</v>
      </c>
      <c r="W57" t="s">
        <v>41</v>
      </c>
      <c r="X57" t="s">
        <v>43</v>
      </c>
      <c r="Y57" t="s">
        <v>44</v>
      </c>
      <c r="Z57">
        <v>32665.5</v>
      </c>
      <c r="AA57" t="s">
        <v>81</v>
      </c>
      <c r="AB57" t="s">
        <v>82</v>
      </c>
      <c r="AC57">
        <v>7</v>
      </c>
      <c r="AG57" t="s">
        <v>43</v>
      </c>
      <c r="AH57" t="s">
        <v>44</v>
      </c>
      <c r="AI57" t="s">
        <v>77</v>
      </c>
      <c r="AJ57">
        <v>9.9092977904625713E-3</v>
      </c>
    </row>
    <row r="58" spans="1:36" x14ac:dyDescent="0.3">
      <c r="A58" t="s">
        <v>72</v>
      </c>
      <c r="B58">
        <v>2025</v>
      </c>
      <c r="C58">
        <v>3</v>
      </c>
      <c r="D58" t="s">
        <v>91</v>
      </c>
      <c r="E58" t="s">
        <v>95</v>
      </c>
      <c r="F58" t="s">
        <v>50</v>
      </c>
      <c r="H58" t="s">
        <v>51</v>
      </c>
      <c r="I58" t="s">
        <v>33</v>
      </c>
      <c r="J58" t="s">
        <v>32</v>
      </c>
      <c r="L58">
        <v>2024</v>
      </c>
      <c r="M58" t="s">
        <v>34</v>
      </c>
      <c r="N58" t="s">
        <v>35</v>
      </c>
      <c r="O58">
        <v>127160</v>
      </c>
      <c r="P58" t="s">
        <v>36</v>
      </c>
      <c r="Q58" t="s">
        <v>37</v>
      </c>
      <c r="R58">
        <v>1</v>
      </c>
      <c r="S58" t="s">
        <v>38</v>
      </c>
      <c r="T58" t="s">
        <v>52</v>
      </c>
      <c r="V58" t="s">
        <v>40</v>
      </c>
      <c r="W58" t="s">
        <v>41</v>
      </c>
      <c r="X58" t="s">
        <v>43</v>
      </c>
      <c r="Y58" t="s">
        <v>44</v>
      </c>
      <c r="Z58">
        <v>523.418731364515</v>
      </c>
      <c r="AA58" t="s">
        <v>81</v>
      </c>
      <c r="AB58" t="s">
        <v>82</v>
      </c>
      <c r="AC58">
        <v>1</v>
      </c>
      <c r="AG58" t="s">
        <v>73</v>
      </c>
      <c r="AH58" t="s">
        <v>74</v>
      </c>
      <c r="AI58" t="s">
        <v>75</v>
      </c>
      <c r="AJ58">
        <v>1.6457259984233616</v>
      </c>
    </row>
    <row r="59" spans="1:36" x14ac:dyDescent="0.3">
      <c r="A59" t="s">
        <v>72</v>
      </c>
      <c r="B59">
        <v>2025</v>
      </c>
      <c r="C59">
        <v>3</v>
      </c>
      <c r="D59" t="s">
        <v>91</v>
      </c>
      <c r="E59" t="s">
        <v>95</v>
      </c>
      <c r="F59" t="s">
        <v>50</v>
      </c>
      <c r="H59" t="s">
        <v>51</v>
      </c>
      <c r="I59" t="s">
        <v>33</v>
      </c>
      <c r="J59" t="s">
        <v>32</v>
      </c>
      <c r="L59">
        <v>2024</v>
      </c>
      <c r="M59" t="s">
        <v>34</v>
      </c>
      <c r="N59" t="s">
        <v>35</v>
      </c>
      <c r="O59">
        <v>127160</v>
      </c>
      <c r="P59" t="s">
        <v>36</v>
      </c>
      <c r="Q59" t="s">
        <v>37</v>
      </c>
      <c r="R59">
        <v>1</v>
      </c>
      <c r="S59" t="s">
        <v>38</v>
      </c>
      <c r="T59" t="s">
        <v>52</v>
      </c>
      <c r="V59" t="s">
        <v>40</v>
      </c>
      <c r="W59" t="s">
        <v>41</v>
      </c>
      <c r="X59" t="s">
        <v>43</v>
      </c>
      <c r="Y59" t="s">
        <v>44</v>
      </c>
      <c r="Z59">
        <v>523.418731364515</v>
      </c>
      <c r="AA59" t="s">
        <v>81</v>
      </c>
      <c r="AB59" t="s">
        <v>82</v>
      </c>
      <c r="AC59">
        <v>2</v>
      </c>
      <c r="AG59" t="s">
        <v>73</v>
      </c>
      <c r="AH59" t="s">
        <v>74</v>
      </c>
      <c r="AI59" t="s">
        <v>75</v>
      </c>
      <c r="AJ59">
        <v>2.4049650259128996</v>
      </c>
    </row>
    <row r="60" spans="1:36" x14ac:dyDescent="0.3">
      <c r="A60" t="s">
        <v>72</v>
      </c>
      <c r="B60">
        <v>2025</v>
      </c>
      <c r="C60">
        <v>3</v>
      </c>
      <c r="D60" t="s">
        <v>91</v>
      </c>
      <c r="E60" t="s">
        <v>95</v>
      </c>
      <c r="F60" t="s">
        <v>50</v>
      </c>
      <c r="H60" t="s">
        <v>51</v>
      </c>
      <c r="I60" t="s">
        <v>33</v>
      </c>
      <c r="J60" t="s">
        <v>32</v>
      </c>
      <c r="L60">
        <v>2024</v>
      </c>
      <c r="M60" t="s">
        <v>34</v>
      </c>
      <c r="N60" t="s">
        <v>35</v>
      </c>
      <c r="O60">
        <v>127160</v>
      </c>
      <c r="P60" t="s">
        <v>36</v>
      </c>
      <c r="Q60" t="s">
        <v>37</v>
      </c>
      <c r="R60">
        <v>1</v>
      </c>
      <c r="S60" t="s">
        <v>38</v>
      </c>
      <c r="T60" t="s">
        <v>52</v>
      </c>
      <c r="V60" t="s">
        <v>40</v>
      </c>
      <c r="W60" t="s">
        <v>41</v>
      </c>
      <c r="X60" t="s">
        <v>43</v>
      </c>
      <c r="Y60" t="s">
        <v>44</v>
      </c>
      <c r="Z60">
        <v>523.418731364515</v>
      </c>
      <c r="AA60" t="s">
        <v>81</v>
      </c>
      <c r="AB60" t="s">
        <v>82</v>
      </c>
      <c r="AC60">
        <v>3</v>
      </c>
      <c r="AG60" t="s">
        <v>73</v>
      </c>
      <c r="AH60" t="s">
        <v>74</v>
      </c>
      <c r="AI60" t="s">
        <v>75</v>
      </c>
      <c r="AJ60">
        <v>0.77081447567769235</v>
      </c>
    </row>
    <row r="61" spans="1:36" x14ac:dyDescent="0.3">
      <c r="A61" t="s">
        <v>72</v>
      </c>
      <c r="B61">
        <v>2025</v>
      </c>
      <c r="C61">
        <v>3</v>
      </c>
      <c r="D61" t="s">
        <v>91</v>
      </c>
      <c r="E61" t="s">
        <v>95</v>
      </c>
      <c r="F61" t="s">
        <v>50</v>
      </c>
      <c r="H61" t="s">
        <v>51</v>
      </c>
      <c r="I61" t="s">
        <v>33</v>
      </c>
      <c r="J61" t="s">
        <v>32</v>
      </c>
      <c r="L61">
        <v>2024</v>
      </c>
      <c r="M61" t="s">
        <v>34</v>
      </c>
      <c r="N61" t="s">
        <v>35</v>
      </c>
      <c r="O61">
        <v>127160</v>
      </c>
      <c r="P61" t="s">
        <v>36</v>
      </c>
      <c r="Q61" t="s">
        <v>37</v>
      </c>
      <c r="R61">
        <v>1</v>
      </c>
      <c r="S61" t="s">
        <v>38</v>
      </c>
      <c r="T61" t="s">
        <v>52</v>
      </c>
      <c r="V61" t="s">
        <v>40</v>
      </c>
      <c r="W61" t="s">
        <v>41</v>
      </c>
      <c r="X61" t="s">
        <v>43</v>
      </c>
      <c r="Y61" t="s">
        <v>44</v>
      </c>
      <c r="Z61">
        <v>523.418731364515</v>
      </c>
      <c r="AA61" t="s">
        <v>81</v>
      </c>
      <c r="AB61" t="s">
        <v>82</v>
      </c>
      <c r="AC61">
        <v>4</v>
      </c>
      <c r="AG61" t="s">
        <v>73</v>
      </c>
      <c r="AH61" t="s">
        <v>74</v>
      </c>
      <c r="AI61" t="s">
        <v>75</v>
      </c>
      <c r="AJ61">
        <v>8.9411303482519937</v>
      </c>
    </row>
    <row r="62" spans="1:36" x14ac:dyDescent="0.3">
      <c r="A62" t="s">
        <v>72</v>
      </c>
      <c r="B62">
        <v>2025</v>
      </c>
      <c r="C62">
        <v>3</v>
      </c>
      <c r="D62" t="s">
        <v>91</v>
      </c>
      <c r="E62" t="s">
        <v>95</v>
      </c>
      <c r="F62" t="s">
        <v>50</v>
      </c>
      <c r="H62" t="s">
        <v>51</v>
      </c>
      <c r="I62" t="s">
        <v>33</v>
      </c>
      <c r="J62" t="s">
        <v>32</v>
      </c>
      <c r="L62">
        <v>2024</v>
      </c>
      <c r="M62" t="s">
        <v>34</v>
      </c>
      <c r="N62" t="s">
        <v>35</v>
      </c>
      <c r="O62">
        <v>127160</v>
      </c>
      <c r="P62" t="s">
        <v>36</v>
      </c>
      <c r="Q62" t="s">
        <v>37</v>
      </c>
      <c r="R62">
        <v>1</v>
      </c>
      <c r="S62" t="s">
        <v>38</v>
      </c>
      <c r="T62" t="s">
        <v>52</v>
      </c>
      <c r="V62" t="s">
        <v>40</v>
      </c>
      <c r="W62" t="s">
        <v>41</v>
      </c>
      <c r="X62" t="s">
        <v>43</v>
      </c>
      <c r="Y62" t="s">
        <v>44</v>
      </c>
      <c r="Z62">
        <v>523.418731364515</v>
      </c>
      <c r="AA62" t="s">
        <v>81</v>
      </c>
      <c r="AB62" t="s">
        <v>82</v>
      </c>
      <c r="AC62">
        <v>5</v>
      </c>
      <c r="AG62" t="s">
        <v>73</v>
      </c>
      <c r="AH62" t="s">
        <v>74</v>
      </c>
      <c r="AI62" t="s">
        <v>75</v>
      </c>
      <c r="AJ62">
        <v>13.240341575382008</v>
      </c>
    </row>
    <row r="63" spans="1:36" x14ac:dyDescent="0.3">
      <c r="A63" t="s">
        <v>72</v>
      </c>
      <c r="B63">
        <v>2025</v>
      </c>
      <c r="C63">
        <v>3</v>
      </c>
      <c r="D63" t="s">
        <v>91</v>
      </c>
      <c r="E63" t="s">
        <v>95</v>
      </c>
      <c r="F63" t="s">
        <v>50</v>
      </c>
      <c r="H63" t="s">
        <v>51</v>
      </c>
      <c r="I63" t="s">
        <v>33</v>
      </c>
      <c r="J63" t="s">
        <v>32</v>
      </c>
      <c r="L63">
        <v>2024</v>
      </c>
      <c r="M63" t="s">
        <v>34</v>
      </c>
      <c r="N63" t="s">
        <v>35</v>
      </c>
      <c r="O63">
        <v>127160</v>
      </c>
      <c r="P63" t="s">
        <v>36</v>
      </c>
      <c r="Q63" t="s">
        <v>37</v>
      </c>
      <c r="R63">
        <v>1</v>
      </c>
      <c r="S63" t="s">
        <v>38</v>
      </c>
      <c r="T63" t="s">
        <v>52</v>
      </c>
      <c r="V63" t="s">
        <v>40</v>
      </c>
      <c r="W63" t="s">
        <v>41</v>
      </c>
      <c r="X63" t="s">
        <v>43</v>
      </c>
      <c r="Y63" t="s">
        <v>44</v>
      </c>
      <c r="Z63">
        <v>523.418731364515</v>
      </c>
      <c r="AA63" t="s">
        <v>81</v>
      </c>
      <c r="AB63" t="s">
        <v>82</v>
      </c>
      <c r="AC63">
        <v>6</v>
      </c>
      <c r="AG63" t="s">
        <v>73</v>
      </c>
      <c r="AH63" t="s">
        <v>74</v>
      </c>
      <c r="AI63" t="s">
        <v>75</v>
      </c>
      <c r="AJ63">
        <v>13.129486355428321</v>
      </c>
    </row>
    <row r="64" spans="1:36" x14ac:dyDescent="0.3">
      <c r="A64" t="s">
        <v>72</v>
      </c>
      <c r="B64">
        <v>2025</v>
      </c>
      <c r="C64">
        <v>3</v>
      </c>
      <c r="D64" t="s">
        <v>91</v>
      </c>
      <c r="E64" t="s">
        <v>95</v>
      </c>
      <c r="F64" t="s">
        <v>50</v>
      </c>
      <c r="H64" t="s">
        <v>51</v>
      </c>
      <c r="I64" t="s">
        <v>33</v>
      </c>
      <c r="J64" t="s">
        <v>32</v>
      </c>
      <c r="L64">
        <v>2024</v>
      </c>
      <c r="M64" t="s">
        <v>34</v>
      </c>
      <c r="N64" t="s">
        <v>35</v>
      </c>
      <c r="O64">
        <v>127160</v>
      </c>
      <c r="P64" t="s">
        <v>36</v>
      </c>
      <c r="Q64" t="s">
        <v>37</v>
      </c>
      <c r="R64">
        <v>1</v>
      </c>
      <c r="S64" t="s">
        <v>38</v>
      </c>
      <c r="T64" t="s">
        <v>52</v>
      </c>
      <c r="V64" t="s">
        <v>40</v>
      </c>
      <c r="W64" t="s">
        <v>41</v>
      </c>
      <c r="X64" t="s">
        <v>43</v>
      </c>
      <c r="Y64" t="s">
        <v>44</v>
      </c>
      <c r="Z64">
        <v>523.418731364515</v>
      </c>
      <c r="AA64" t="s">
        <v>81</v>
      </c>
      <c r="AB64" t="s">
        <v>82</v>
      </c>
      <c r="AC64">
        <v>7</v>
      </c>
      <c r="AG64" t="s">
        <v>73</v>
      </c>
      <c r="AH64" t="s">
        <v>74</v>
      </c>
      <c r="AI64" t="s">
        <v>75</v>
      </c>
      <c r="AJ64">
        <v>18.967528467041134</v>
      </c>
    </row>
    <row r="65" spans="1:36" x14ac:dyDescent="0.3">
      <c r="A65" t="s">
        <v>72</v>
      </c>
      <c r="B65">
        <v>2025</v>
      </c>
      <c r="C65">
        <v>3</v>
      </c>
      <c r="D65" t="s">
        <v>91</v>
      </c>
      <c r="E65" t="s">
        <v>95</v>
      </c>
      <c r="F65" t="s">
        <v>50</v>
      </c>
      <c r="H65" t="s">
        <v>51</v>
      </c>
      <c r="I65" t="s">
        <v>33</v>
      </c>
      <c r="J65" t="s">
        <v>32</v>
      </c>
      <c r="L65">
        <v>2024</v>
      </c>
      <c r="M65" t="s">
        <v>34</v>
      </c>
      <c r="N65" t="s">
        <v>35</v>
      </c>
      <c r="O65">
        <v>127160</v>
      </c>
      <c r="P65" t="s">
        <v>36</v>
      </c>
      <c r="Q65" t="s">
        <v>37</v>
      </c>
      <c r="R65">
        <v>1</v>
      </c>
      <c r="S65" t="s">
        <v>38</v>
      </c>
      <c r="T65" t="s">
        <v>52</v>
      </c>
      <c r="V65" t="s">
        <v>40</v>
      </c>
      <c r="W65" t="s">
        <v>41</v>
      </c>
      <c r="X65" t="s">
        <v>43</v>
      </c>
      <c r="Y65" t="s">
        <v>44</v>
      </c>
      <c r="Z65">
        <v>523.418731364515</v>
      </c>
      <c r="AA65" t="s">
        <v>81</v>
      </c>
      <c r="AB65" t="s">
        <v>82</v>
      </c>
      <c r="AC65">
        <v>1</v>
      </c>
      <c r="AG65" t="s">
        <v>43</v>
      </c>
      <c r="AH65" t="s">
        <v>44</v>
      </c>
      <c r="AI65" t="s">
        <v>77</v>
      </c>
      <c r="AJ65">
        <v>5.4675291723273898E-3</v>
      </c>
    </row>
    <row r="66" spans="1:36" x14ac:dyDescent="0.3">
      <c r="A66" t="s">
        <v>72</v>
      </c>
      <c r="B66">
        <v>2025</v>
      </c>
      <c r="C66">
        <v>3</v>
      </c>
      <c r="D66" t="s">
        <v>91</v>
      </c>
      <c r="E66" t="s">
        <v>95</v>
      </c>
      <c r="F66" t="s">
        <v>50</v>
      </c>
      <c r="H66" t="s">
        <v>51</v>
      </c>
      <c r="I66" t="s">
        <v>33</v>
      </c>
      <c r="J66" t="s">
        <v>32</v>
      </c>
      <c r="L66">
        <v>2024</v>
      </c>
      <c r="M66" t="s">
        <v>34</v>
      </c>
      <c r="N66" t="s">
        <v>35</v>
      </c>
      <c r="O66">
        <v>127160</v>
      </c>
      <c r="P66" t="s">
        <v>36</v>
      </c>
      <c r="Q66" t="s">
        <v>37</v>
      </c>
      <c r="R66">
        <v>1</v>
      </c>
      <c r="S66" t="s">
        <v>38</v>
      </c>
      <c r="T66" t="s">
        <v>52</v>
      </c>
      <c r="V66" t="s">
        <v>40</v>
      </c>
      <c r="W66" t="s">
        <v>41</v>
      </c>
      <c r="X66" t="s">
        <v>43</v>
      </c>
      <c r="Y66" t="s">
        <v>44</v>
      </c>
      <c r="Z66">
        <v>523.418731364515</v>
      </c>
      <c r="AA66" t="s">
        <v>81</v>
      </c>
      <c r="AB66" t="s">
        <v>82</v>
      </c>
      <c r="AC66">
        <v>2</v>
      </c>
      <c r="AG66" t="s">
        <v>43</v>
      </c>
      <c r="AH66" t="s">
        <v>44</v>
      </c>
      <c r="AI66" t="s">
        <v>77</v>
      </c>
      <c r="AJ66">
        <v>6.1144567118772992E-3</v>
      </c>
    </row>
    <row r="67" spans="1:36" x14ac:dyDescent="0.3">
      <c r="A67" t="s">
        <v>72</v>
      </c>
      <c r="B67">
        <v>2025</v>
      </c>
      <c r="C67">
        <v>3</v>
      </c>
      <c r="D67" t="s">
        <v>91</v>
      </c>
      <c r="E67" t="s">
        <v>95</v>
      </c>
      <c r="F67" t="s">
        <v>50</v>
      </c>
      <c r="H67" t="s">
        <v>51</v>
      </c>
      <c r="I67" t="s">
        <v>33</v>
      </c>
      <c r="J67" t="s">
        <v>32</v>
      </c>
      <c r="L67">
        <v>2024</v>
      </c>
      <c r="M67" t="s">
        <v>34</v>
      </c>
      <c r="N67" t="s">
        <v>35</v>
      </c>
      <c r="O67">
        <v>127160</v>
      </c>
      <c r="P67" t="s">
        <v>36</v>
      </c>
      <c r="Q67" t="s">
        <v>37</v>
      </c>
      <c r="R67">
        <v>1</v>
      </c>
      <c r="S67" t="s">
        <v>38</v>
      </c>
      <c r="T67" t="s">
        <v>52</v>
      </c>
      <c r="V67" t="s">
        <v>40</v>
      </c>
      <c r="W67" t="s">
        <v>41</v>
      </c>
      <c r="X67" t="s">
        <v>43</v>
      </c>
      <c r="Y67" t="s">
        <v>44</v>
      </c>
      <c r="Z67">
        <v>523.418731364515</v>
      </c>
      <c r="AA67" t="s">
        <v>81</v>
      </c>
      <c r="AB67" t="s">
        <v>82</v>
      </c>
      <c r="AC67">
        <v>3</v>
      </c>
      <c r="AG67" t="s">
        <v>43</v>
      </c>
      <c r="AH67" t="s">
        <v>44</v>
      </c>
      <c r="AI67" t="s">
        <v>77</v>
      </c>
      <c r="AJ67">
        <v>6.9160162542765101E-3</v>
      </c>
    </row>
    <row r="68" spans="1:36" x14ac:dyDescent="0.3">
      <c r="A68" t="s">
        <v>72</v>
      </c>
      <c r="B68">
        <v>2025</v>
      </c>
      <c r="C68">
        <v>3</v>
      </c>
      <c r="D68" t="s">
        <v>91</v>
      </c>
      <c r="E68" t="s">
        <v>95</v>
      </c>
      <c r="F68" t="s">
        <v>50</v>
      </c>
      <c r="H68" t="s">
        <v>51</v>
      </c>
      <c r="I68" t="s">
        <v>33</v>
      </c>
      <c r="J68" t="s">
        <v>32</v>
      </c>
      <c r="L68">
        <v>2024</v>
      </c>
      <c r="M68" t="s">
        <v>34</v>
      </c>
      <c r="N68" t="s">
        <v>35</v>
      </c>
      <c r="O68">
        <v>127160</v>
      </c>
      <c r="P68" t="s">
        <v>36</v>
      </c>
      <c r="Q68" t="s">
        <v>37</v>
      </c>
      <c r="R68">
        <v>1</v>
      </c>
      <c r="S68" t="s">
        <v>38</v>
      </c>
      <c r="T68" t="s">
        <v>52</v>
      </c>
      <c r="V68" t="s">
        <v>40</v>
      </c>
      <c r="W68" t="s">
        <v>41</v>
      </c>
      <c r="X68" t="s">
        <v>43</v>
      </c>
      <c r="Y68" t="s">
        <v>44</v>
      </c>
      <c r="Z68">
        <v>523.418731364515</v>
      </c>
      <c r="AA68" t="s">
        <v>81</v>
      </c>
      <c r="AB68" t="s">
        <v>82</v>
      </c>
      <c r="AC68">
        <v>4</v>
      </c>
      <c r="AG68" t="s">
        <v>43</v>
      </c>
      <c r="AH68" t="s">
        <v>44</v>
      </c>
      <c r="AI68" t="s">
        <v>77</v>
      </c>
      <c r="AJ68">
        <v>7.4743746738224134E-3</v>
      </c>
    </row>
    <row r="69" spans="1:36" x14ac:dyDescent="0.3">
      <c r="A69" t="s">
        <v>72</v>
      </c>
      <c r="B69">
        <v>2025</v>
      </c>
      <c r="C69">
        <v>3</v>
      </c>
      <c r="D69" t="s">
        <v>91</v>
      </c>
      <c r="E69" t="s">
        <v>95</v>
      </c>
      <c r="F69" t="s">
        <v>50</v>
      </c>
      <c r="H69" t="s">
        <v>51</v>
      </c>
      <c r="I69" t="s">
        <v>33</v>
      </c>
      <c r="J69" t="s">
        <v>32</v>
      </c>
      <c r="L69">
        <v>2024</v>
      </c>
      <c r="M69" t="s">
        <v>34</v>
      </c>
      <c r="N69" t="s">
        <v>35</v>
      </c>
      <c r="O69">
        <v>127160</v>
      </c>
      <c r="P69" t="s">
        <v>36</v>
      </c>
      <c r="Q69" t="s">
        <v>37</v>
      </c>
      <c r="R69">
        <v>1</v>
      </c>
      <c r="S69" t="s">
        <v>38</v>
      </c>
      <c r="T69" t="s">
        <v>52</v>
      </c>
      <c r="V69" t="s">
        <v>40</v>
      </c>
      <c r="W69" t="s">
        <v>41</v>
      </c>
      <c r="X69" t="s">
        <v>43</v>
      </c>
      <c r="Y69" t="s">
        <v>44</v>
      </c>
      <c r="Z69">
        <v>523.418731364515</v>
      </c>
      <c r="AA69" t="s">
        <v>81</v>
      </c>
      <c r="AB69" t="s">
        <v>82</v>
      </c>
      <c r="AC69">
        <v>5</v>
      </c>
      <c r="AG69" t="s">
        <v>43</v>
      </c>
      <c r="AH69" t="s">
        <v>44</v>
      </c>
      <c r="AI69" t="s">
        <v>77</v>
      </c>
      <c r="AJ69">
        <v>8.3492896233372631E-3</v>
      </c>
    </row>
    <row r="70" spans="1:36" x14ac:dyDescent="0.3">
      <c r="A70" t="s">
        <v>72</v>
      </c>
      <c r="B70">
        <v>2025</v>
      </c>
      <c r="C70">
        <v>3</v>
      </c>
      <c r="D70" t="s">
        <v>91</v>
      </c>
      <c r="E70" t="s">
        <v>95</v>
      </c>
      <c r="F70" t="s">
        <v>50</v>
      </c>
      <c r="H70" t="s">
        <v>51</v>
      </c>
      <c r="I70" t="s">
        <v>33</v>
      </c>
      <c r="J70" t="s">
        <v>32</v>
      </c>
      <c r="L70">
        <v>2024</v>
      </c>
      <c r="M70" t="s">
        <v>34</v>
      </c>
      <c r="N70" t="s">
        <v>35</v>
      </c>
      <c r="O70">
        <v>127160</v>
      </c>
      <c r="P70" t="s">
        <v>36</v>
      </c>
      <c r="Q70" t="s">
        <v>37</v>
      </c>
      <c r="R70">
        <v>1</v>
      </c>
      <c r="S70" t="s">
        <v>38</v>
      </c>
      <c r="T70" t="s">
        <v>52</v>
      </c>
      <c r="V70" t="s">
        <v>40</v>
      </c>
      <c r="W70" t="s">
        <v>41</v>
      </c>
      <c r="X70" t="s">
        <v>43</v>
      </c>
      <c r="Y70" t="s">
        <v>44</v>
      </c>
      <c r="Z70">
        <v>523.418731364515</v>
      </c>
      <c r="AA70" t="s">
        <v>81</v>
      </c>
      <c r="AB70" t="s">
        <v>82</v>
      </c>
      <c r="AC70">
        <v>6</v>
      </c>
      <c r="AG70" t="s">
        <v>43</v>
      </c>
      <c r="AH70" t="s">
        <v>44</v>
      </c>
      <c r="AI70" t="s">
        <v>77</v>
      </c>
      <c r="AJ70">
        <v>9.8292469555517105E-3</v>
      </c>
    </row>
    <row r="71" spans="1:36" x14ac:dyDescent="0.3">
      <c r="A71" t="s">
        <v>72</v>
      </c>
      <c r="B71">
        <v>2025</v>
      </c>
      <c r="C71">
        <v>3</v>
      </c>
      <c r="D71" t="s">
        <v>91</v>
      </c>
      <c r="E71" t="s">
        <v>95</v>
      </c>
      <c r="F71" t="s">
        <v>50</v>
      </c>
      <c r="H71" t="s">
        <v>51</v>
      </c>
      <c r="I71" t="s">
        <v>33</v>
      </c>
      <c r="J71" t="s">
        <v>32</v>
      </c>
      <c r="L71">
        <v>2024</v>
      </c>
      <c r="M71" t="s">
        <v>34</v>
      </c>
      <c r="N71" t="s">
        <v>35</v>
      </c>
      <c r="O71">
        <v>127160</v>
      </c>
      <c r="P71" t="s">
        <v>36</v>
      </c>
      <c r="Q71" t="s">
        <v>37</v>
      </c>
      <c r="R71">
        <v>1</v>
      </c>
      <c r="S71" t="s">
        <v>38</v>
      </c>
      <c r="T71" t="s">
        <v>52</v>
      </c>
      <c r="V71" t="s">
        <v>40</v>
      </c>
      <c r="W71" t="s">
        <v>41</v>
      </c>
      <c r="X71" t="s">
        <v>43</v>
      </c>
      <c r="Y71" t="s">
        <v>44</v>
      </c>
      <c r="Z71">
        <v>523.418731364515</v>
      </c>
      <c r="AA71" t="s">
        <v>81</v>
      </c>
      <c r="AB71" t="s">
        <v>82</v>
      </c>
      <c r="AC71">
        <v>7</v>
      </c>
      <c r="AG71" t="s">
        <v>43</v>
      </c>
      <c r="AH71" t="s">
        <v>44</v>
      </c>
      <c r="AI71" t="s">
        <v>77</v>
      </c>
      <c r="AJ71">
        <v>9.9092977904625713E-3</v>
      </c>
    </row>
    <row r="72" spans="1:36" x14ac:dyDescent="0.3">
      <c r="A72" t="s">
        <v>72</v>
      </c>
      <c r="B72">
        <v>2025</v>
      </c>
      <c r="C72">
        <v>3</v>
      </c>
      <c r="D72" t="s">
        <v>91</v>
      </c>
      <c r="E72" t="s">
        <v>95</v>
      </c>
      <c r="F72" t="s">
        <v>50</v>
      </c>
      <c r="H72" t="s">
        <v>51</v>
      </c>
      <c r="I72" t="s">
        <v>33</v>
      </c>
      <c r="J72" t="s">
        <v>32</v>
      </c>
      <c r="L72">
        <v>2024</v>
      </c>
      <c r="M72" t="s">
        <v>34</v>
      </c>
      <c r="N72" t="s">
        <v>35</v>
      </c>
      <c r="O72">
        <v>127160</v>
      </c>
      <c r="P72" t="s">
        <v>36</v>
      </c>
      <c r="Q72" t="s">
        <v>37</v>
      </c>
      <c r="R72">
        <v>1</v>
      </c>
      <c r="S72" t="s">
        <v>38</v>
      </c>
      <c r="T72" t="s">
        <v>39</v>
      </c>
      <c r="V72" t="s">
        <v>40</v>
      </c>
      <c r="W72" t="s">
        <v>41</v>
      </c>
      <c r="X72" t="s">
        <v>43</v>
      </c>
      <c r="Y72" t="s">
        <v>44</v>
      </c>
      <c r="Z72">
        <v>5998.7539999999999</v>
      </c>
      <c r="AA72" t="s">
        <v>81</v>
      </c>
      <c r="AB72" t="s">
        <v>82</v>
      </c>
      <c r="AC72">
        <v>1</v>
      </c>
      <c r="AG72" t="s">
        <v>73</v>
      </c>
      <c r="AH72" t="s">
        <v>74</v>
      </c>
      <c r="AI72" t="s">
        <v>75</v>
      </c>
      <c r="AJ72">
        <v>18.861200076294068</v>
      </c>
    </row>
    <row r="73" spans="1:36" x14ac:dyDescent="0.3">
      <c r="A73" t="s">
        <v>72</v>
      </c>
      <c r="B73">
        <v>2025</v>
      </c>
      <c r="C73">
        <v>3</v>
      </c>
      <c r="D73" t="s">
        <v>91</v>
      </c>
      <c r="E73" t="s">
        <v>95</v>
      </c>
      <c r="F73" t="s">
        <v>50</v>
      </c>
      <c r="H73" t="s">
        <v>51</v>
      </c>
      <c r="I73" t="s">
        <v>33</v>
      </c>
      <c r="J73" t="s">
        <v>32</v>
      </c>
      <c r="L73">
        <v>2024</v>
      </c>
      <c r="M73" t="s">
        <v>34</v>
      </c>
      <c r="N73" t="s">
        <v>35</v>
      </c>
      <c r="O73">
        <v>127160</v>
      </c>
      <c r="P73" t="s">
        <v>36</v>
      </c>
      <c r="Q73" t="s">
        <v>37</v>
      </c>
      <c r="R73">
        <v>1</v>
      </c>
      <c r="S73" t="s">
        <v>38</v>
      </c>
      <c r="T73" t="s">
        <v>39</v>
      </c>
      <c r="V73" t="s">
        <v>40</v>
      </c>
      <c r="W73" t="s">
        <v>41</v>
      </c>
      <c r="X73" t="s">
        <v>43</v>
      </c>
      <c r="Y73" t="s">
        <v>44</v>
      </c>
      <c r="Z73">
        <v>5998.7539999999999</v>
      </c>
      <c r="AA73" t="s">
        <v>81</v>
      </c>
      <c r="AB73" t="s">
        <v>82</v>
      </c>
      <c r="AC73">
        <v>2</v>
      </c>
      <c r="AG73" t="s">
        <v>73</v>
      </c>
      <c r="AH73" t="s">
        <v>74</v>
      </c>
      <c r="AI73" t="s">
        <v>75</v>
      </c>
      <c r="AJ73">
        <v>27.562623774364166</v>
      </c>
    </row>
    <row r="74" spans="1:36" x14ac:dyDescent="0.3">
      <c r="A74" t="s">
        <v>72</v>
      </c>
      <c r="B74">
        <v>2025</v>
      </c>
      <c r="C74">
        <v>3</v>
      </c>
      <c r="D74" t="s">
        <v>91</v>
      </c>
      <c r="E74" t="s">
        <v>95</v>
      </c>
      <c r="F74" t="s">
        <v>50</v>
      </c>
      <c r="H74" t="s">
        <v>51</v>
      </c>
      <c r="I74" t="s">
        <v>33</v>
      </c>
      <c r="J74" t="s">
        <v>32</v>
      </c>
      <c r="L74">
        <v>2024</v>
      </c>
      <c r="M74" t="s">
        <v>34</v>
      </c>
      <c r="N74" t="s">
        <v>35</v>
      </c>
      <c r="O74">
        <v>127160</v>
      </c>
      <c r="P74" t="s">
        <v>36</v>
      </c>
      <c r="Q74" t="s">
        <v>37</v>
      </c>
      <c r="R74">
        <v>1</v>
      </c>
      <c r="S74" t="s">
        <v>38</v>
      </c>
      <c r="T74" t="s">
        <v>39</v>
      </c>
      <c r="V74" t="s">
        <v>40</v>
      </c>
      <c r="W74" t="s">
        <v>41</v>
      </c>
      <c r="X74" t="s">
        <v>43</v>
      </c>
      <c r="Y74" t="s">
        <v>44</v>
      </c>
      <c r="Z74">
        <v>5998.7539999999999</v>
      </c>
      <c r="AA74" t="s">
        <v>81</v>
      </c>
      <c r="AB74" t="s">
        <v>82</v>
      </c>
      <c r="AC74">
        <v>3</v>
      </c>
      <c r="AG74" t="s">
        <v>73</v>
      </c>
      <c r="AH74" t="s">
        <v>74</v>
      </c>
      <c r="AI74" t="s">
        <v>75</v>
      </c>
      <c r="AJ74">
        <v>8.834086634949454</v>
      </c>
    </row>
    <row r="75" spans="1:36" x14ac:dyDescent="0.3">
      <c r="A75" t="s">
        <v>72</v>
      </c>
      <c r="B75">
        <v>2025</v>
      </c>
      <c r="C75">
        <v>3</v>
      </c>
      <c r="D75" t="s">
        <v>91</v>
      </c>
      <c r="E75" t="s">
        <v>95</v>
      </c>
      <c r="F75" t="s">
        <v>50</v>
      </c>
      <c r="H75" t="s">
        <v>51</v>
      </c>
      <c r="I75" t="s">
        <v>33</v>
      </c>
      <c r="J75" t="s">
        <v>32</v>
      </c>
      <c r="L75">
        <v>2024</v>
      </c>
      <c r="M75" t="s">
        <v>34</v>
      </c>
      <c r="N75" t="s">
        <v>35</v>
      </c>
      <c r="O75">
        <v>127160</v>
      </c>
      <c r="P75" t="s">
        <v>36</v>
      </c>
      <c r="Q75" t="s">
        <v>37</v>
      </c>
      <c r="R75">
        <v>1</v>
      </c>
      <c r="S75" t="s">
        <v>38</v>
      </c>
      <c r="T75" t="s">
        <v>39</v>
      </c>
      <c r="V75" t="s">
        <v>40</v>
      </c>
      <c r="W75" t="s">
        <v>41</v>
      </c>
      <c r="X75" t="s">
        <v>43</v>
      </c>
      <c r="Y75" t="s">
        <v>44</v>
      </c>
      <c r="Z75">
        <v>5998.7539999999999</v>
      </c>
      <c r="AA75" t="s">
        <v>81</v>
      </c>
      <c r="AB75" t="s">
        <v>82</v>
      </c>
      <c r="AC75">
        <v>4</v>
      </c>
      <c r="AG75" t="s">
        <v>73</v>
      </c>
      <c r="AH75" t="s">
        <v>74</v>
      </c>
      <c r="AI75" t="s">
        <v>75</v>
      </c>
      <c r="AJ75">
        <v>102.47176538996565</v>
      </c>
    </row>
    <row r="76" spans="1:36" x14ac:dyDescent="0.3">
      <c r="A76" t="s">
        <v>72</v>
      </c>
      <c r="B76">
        <v>2025</v>
      </c>
      <c r="C76">
        <v>3</v>
      </c>
      <c r="D76" t="s">
        <v>91</v>
      </c>
      <c r="E76" t="s">
        <v>95</v>
      </c>
      <c r="F76" t="s">
        <v>50</v>
      </c>
      <c r="H76" t="s">
        <v>51</v>
      </c>
      <c r="I76" t="s">
        <v>33</v>
      </c>
      <c r="J76" t="s">
        <v>32</v>
      </c>
      <c r="L76">
        <v>2024</v>
      </c>
      <c r="M76" t="s">
        <v>34</v>
      </c>
      <c r="N76" t="s">
        <v>35</v>
      </c>
      <c r="O76">
        <v>127160</v>
      </c>
      <c r="P76" t="s">
        <v>36</v>
      </c>
      <c r="Q76" t="s">
        <v>37</v>
      </c>
      <c r="R76">
        <v>1</v>
      </c>
      <c r="S76" t="s">
        <v>38</v>
      </c>
      <c r="T76" t="s">
        <v>39</v>
      </c>
      <c r="V76" t="s">
        <v>40</v>
      </c>
      <c r="W76" t="s">
        <v>41</v>
      </c>
      <c r="X76" t="s">
        <v>43</v>
      </c>
      <c r="Y76" t="s">
        <v>44</v>
      </c>
      <c r="Z76">
        <v>5998.7539999999999</v>
      </c>
      <c r="AA76" t="s">
        <v>81</v>
      </c>
      <c r="AB76" t="s">
        <v>82</v>
      </c>
      <c r="AC76">
        <v>5</v>
      </c>
      <c r="AG76" t="s">
        <v>73</v>
      </c>
      <c r="AH76" t="s">
        <v>74</v>
      </c>
      <c r="AI76" t="s">
        <v>75</v>
      </c>
      <c r="AJ76">
        <v>151.74380897609916</v>
      </c>
    </row>
    <row r="77" spans="1:36" x14ac:dyDescent="0.3">
      <c r="A77" t="s">
        <v>72</v>
      </c>
      <c r="B77">
        <v>2025</v>
      </c>
      <c r="C77">
        <v>3</v>
      </c>
      <c r="D77" t="s">
        <v>91</v>
      </c>
      <c r="E77" t="s">
        <v>95</v>
      </c>
      <c r="F77" t="s">
        <v>50</v>
      </c>
      <c r="H77" t="s">
        <v>51</v>
      </c>
      <c r="I77" t="s">
        <v>33</v>
      </c>
      <c r="J77" t="s">
        <v>32</v>
      </c>
      <c r="L77">
        <v>2024</v>
      </c>
      <c r="M77" t="s">
        <v>34</v>
      </c>
      <c r="N77" t="s">
        <v>35</v>
      </c>
      <c r="O77">
        <v>127160</v>
      </c>
      <c r="P77" t="s">
        <v>36</v>
      </c>
      <c r="Q77" t="s">
        <v>37</v>
      </c>
      <c r="R77">
        <v>1</v>
      </c>
      <c r="S77" t="s">
        <v>38</v>
      </c>
      <c r="T77" t="s">
        <v>39</v>
      </c>
      <c r="V77" t="s">
        <v>40</v>
      </c>
      <c r="W77" t="s">
        <v>41</v>
      </c>
      <c r="X77" t="s">
        <v>43</v>
      </c>
      <c r="Y77" t="s">
        <v>44</v>
      </c>
      <c r="Z77">
        <v>5998.7539999999999</v>
      </c>
      <c r="AA77" t="s">
        <v>81</v>
      </c>
      <c r="AB77" t="s">
        <v>82</v>
      </c>
      <c r="AC77">
        <v>6</v>
      </c>
      <c r="AG77" t="s">
        <v>73</v>
      </c>
      <c r="AH77" t="s">
        <v>74</v>
      </c>
      <c r="AI77" t="s">
        <v>75</v>
      </c>
      <c r="AJ77">
        <v>150.47332866221268</v>
      </c>
    </row>
    <row r="78" spans="1:36" x14ac:dyDescent="0.3">
      <c r="A78" t="s">
        <v>72</v>
      </c>
      <c r="B78">
        <v>2025</v>
      </c>
      <c r="C78">
        <v>3</v>
      </c>
      <c r="D78" t="s">
        <v>91</v>
      </c>
      <c r="E78" t="s">
        <v>95</v>
      </c>
      <c r="F78" t="s">
        <v>50</v>
      </c>
      <c r="H78" t="s">
        <v>51</v>
      </c>
      <c r="I78" t="s">
        <v>33</v>
      </c>
      <c r="J78" t="s">
        <v>32</v>
      </c>
      <c r="L78">
        <v>2024</v>
      </c>
      <c r="M78" t="s">
        <v>34</v>
      </c>
      <c r="N78" t="s">
        <v>35</v>
      </c>
      <c r="O78">
        <v>127160</v>
      </c>
      <c r="P78" t="s">
        <v>36</v>
      </c>
      <c r="Q78" t="s">
        <v>37</v>
      </c>
      <c r="R78">
        <v>1</v>
      </c>
      <c r="S78" t="s">
        <v>38</v>
      </c>
      <c r="T78" t="s">
        <v>39</v>
      </c>
      <c r="V78" t="s">
        <v>40</v>
      </c>
      <c r="W78" t="s">
        <v>41</v>
      </c>
      <c r="X78" t="s">
        <v>43</v>
      </c>
      <c r="Y78" t="s">
        <v>44</v>
      </c>
      <c r="Z78">
        <v>5998.7539999999999</v>
      </c>
      <c r="AA78" t="s">
        <v>81</v>
      </c>
      <c r="AB78" t="s">
        <v>82</v>
      </c>
      <c r="AC78">
        <v>7</v>
      </c>
      <c r="AG78" t="s">
        <v>73</v>
      </c>
      <c r="AH78" t="s">
        <v>74</v>
      </c>
      <c r="AI78" t="s">
        <v>75</v>
      </c>
      <c r="AJ78">
        <v>217.38147766541829</v>
      </c>
    </row>
    <row r="79" spans="1:36" x14ac:dyDescent="0.3">
      <c r="A79" t="s">
        <v>72</v>
      </c>
      <c r="B79">
        <v>2025</v>
      </c>
      <c r="C79">
        <v>3</v>
      </c>
      <c r="D79" t="s">
        <v>91</v>
      </c>
      <c r="E79" t="s">
        <v>95</v>
      </c>
      <c r="F79" t="s">
        <v>50</v>
      </c>
      <c r="H79" t="s">
        <v>51</v>
      </c>
      <c r="I79" t="s">
        <v>33</v>
      </c>
      <c r="J79" t="s">
        <v>32</v>
      </c>
      <c r="L79">
        <v>2024</v>
      </c>
      <c r="M79" t="s">
        <v>34</v>
      </c>
      <c r="N79" t="s">
        <v>35</v>
      </c>
      <c r="O79">
        <v>127160</v>
      </c>
      <c r="P79" t="s">
        <v>36</v>
      </c>
      <c r="Q79" t="s">
        <v>37</v>
      </c>
      <c r="R79">
        <v>1</v>
      </c>
      <c r="S79" t="s">
        <v>38</v>
      </c>
      <c r="T79" t="s">
        <v>39</v>
      </c>
      <c r="V79" t="s">
        <v>40</v>
      </c>
      <c r="W79" t="s">
        <v>41</v>
      </c>
      <c r="X79" t="s">
        <v>43</v>
      </c>
      <c r="Y79" t="s">
        <v>44</v>
      </c>
      <c r="Z79">
        <v>5998.7539999999999</v>
      </c>
      <c r="AA79" t="s">
        <v>81</v>
      </c>
      <c r="AB79" t="s">
        <v>82</v>
      </c>
      <c r="AC79">
        <v>1</v>
      </c>
      <c r="AG79" t="s">
        <v>43</v>
      </c>
      <c r="AH79" t="s">
        <v>44</v>
      </c>
      <c r="AI79" t="s">
        <v>77</v>
      </c>
      <c r="AJ79">
        <v>5.4675291723273898E-3</v>
      </c>
    </row>
    <row r="80" spans="1:36" x14ac:dyDescent="0.3">
      <c r="A80" t="s">
        <v>72</v>
      </c>
      <c r="B80">
        <v>2025</v>
      </c>
      <c r="C80">
        <v>3</v>
      </c>
      <c r="D80" t="s">
        <v>91</v>
      </c>
      <c r="E80" t="s">
        <v>95</v>
      </c>
      <c r="F80" t="s">
        <v>50</v>
      </c>
      <c r="H80" t="s">
        <v>51</v>
      </c>
      <c r="I80" t="s">
        <v>33</v>
      </c>
      <c r="J80" t="s">
        <v>32</v>
      </c>
      <c r="L80">
        <v>2024</v>
      </c>
      <c r="M80" t="s">
        <v>34</v>
      </c>
      <c r="N80" t="s">
        <v>35</v>
      </c>
      <c r="O80">
        <v>127160</v>
      </c>
      <c r="P80" t="s">
        <v>36</v>
      </c>
      <c r="Q80" t="s">
        <v>37</v>
      </c>
      <c r="R80">
        <v>1</v>
      </c>
      <c r="S80" t="s">
        <v>38</v>
      </c>
      <c r="T80" t="s">
        <v>39</v>
      </c>
      <c r="V80" t="s">
        <v>40</v>
      </c>
      <c r="W80" t="s">
        <v>41</v>
      </c>
      <c r="X80" t="s">
        <v>43</v>
      </c>
      <c r="Y80" t="s">
        <v>44</v>
      </c>
      <c r="Z80">
        <v>5998.7539999999999</v>
      </c>
      <c r="AA80" t="s">
        <v>81</v>
      </c>
      <c r="AB80" t="s">
        <v>82</v>
      </c>
      <c r="AC80">
        <v>2</v>
      </c>
      <c r="AG80" t="s">
        <v>43</v>
      </c>
      <c r="AH80" t="s">
        <v>44</v>
      </c>
      <c r="AI80" t="s">
        <v>77</v>
      </c>
      <c r="AJ80">
        <v>6.1144567118772992E-3</v>
      </c>
    </row>
    <row r="81" spans="1:36" x14ac:dyDescent="0.3">
      <c r="A81" t="s">
        <v>72</v>
      </c>
      <c r="B81">
        <v>2025</v>
      </c>
      <c r="C81">
        <v>3</v>
      </c>
      <c r="D81" t="s">
        <v>91</v>
      </c>
      <c r="E81" t="s">
        <v>95</v>
      </c>
      <c r="F81" t="s">
        <v>50</v>
      </c>
      <c r="H81" t="s">
        <v>51</v>
      </c>
      <c r="I81" t="s">
        <v>33</v>
      </c>
      <c r="J81" t="s">
        <v>32</v>
      </c>
      <c r="L81">
        <v>2024</v>
      </c>
      <c r="M81" t="s">
        <v>34</v>
      </c>
      <c r="N81" t="s">
        <v>35</v>
      </c>
      <c r="O81">
        <v>127160</v>
      </c>
      <c r="P81" t="s">
        <v>36</v>
      </c>
      <c r="Q81" t="s">
        <v>37</v>
      </c>
      <c r="R81">
        <v>1</v>
      </c>
      <c r="S81" t="s">
        <v>38</v>
      </c>
      <c r="T81" t="s">
        <v>39</v>
      </c>
      <c r="V81" t="s">
        <v>40</v>
      </c>
      <c r="W81" t="s">
        <v>41</v>
      </c>
      <c r="X81" t="s">
        <v>43</v>
      </c>
      <c r="Y81" t="s">
        <v>44</v>
      </c>
      <c r="Z81">
        <v>5998.7539999999999</v>
      </c>
      <c r="AA81" t="s">
        <v>81</v>
      </c>
      <c r="AB81" t="s">
        <v>82</v>
      </c>
      <c r="AC81">
        <v>3</v>
      </c>
      <c r="AG81" t="s">
        <v>43</v>
      </c>
      <c r="AH81" t="s">
        <v>44</v>
      </c>
      <c r="AI81" t="s">
        <v>77</v>
      </c>
      <c r="AJ81">
        <v>6.9160162542765101E-3</v>
      </c>
    </row>
    <row r="82" spans="1:36" x14ac:dyDescent="0.3">
      <c r="A82" t="s">
        <v>72</v>
      </c>
      <c r="B82">
        <v>2025</v>
      </c>
      <c r="C82">
        <v>3</v>
      </c>
      <c r="D82" t="s">
        <v>91</v>
      </c>
      <c r="E82" t="s">
        <v>95</v>
      </c>
      <c r="F82" t="s">
        <v>50</v>
      </c>
      <c r="H82" t="s">
        <v>51</v>
      </c>
      <c r="I82" t="s">
        <v>33</v>
      </c>
      <c r="J82" t="s">
        <v>32</v>
      </c>
      <c r="L82">
        <v>2024</v>
      </c>
      <c r="M82" t="s">
        <v>34</v>
      </c>
      <c r="N82" t="s">
        <v>35</v>
      </c>
      <c r="O82">
        <v>127160</v>
      </c>
      <c r="P82" t="s">
        <v>36</v>
      </c>
      <c r="Q82" t="s">
        <v>37</v>
      </c>
      <c r="R82">
        <v>1</v>
      </c>
      <c r="S82" t="s">
        <v>38</v>
      </c>
      <c r="T82" t="s">
        <v>39</v>
      </c>
      <c r="V82" t="s">
        <v>40</v>
      </c>
      <c r="W82" t="s">
        <v>41</v>
      </c>
      <c r="X82" t="s">
        <v>43</v>
      </c>
      <c r="Y82" t="s">
        <v>44</v>
      </c>
      <c r="Z82">
        <v>5998.7539999999999</v>
      </c>
      <c r="AA82" t="s">
        <v>81</v>
      </c>
      <c r="AB82" t="s">
        <v>82</v>
      </c>
      <c r="AC82">
        <v>4</v>
      </c>
      <c r="AG82" t="s">
        <v>43</v>
      </c>
      <c r="AH82" t="s">
        <v>44</v>
      </c>
      <c r="AI82" t="s">
        <v>77</v>
      </c>
      <c r="AJ82">
        <v>7.4743746738224134E-3</v>
      </c>
    </row>
    <row r="83" spans="1:36" x14ac:dyDescent="0.3">
      <c r="A83" t="s">
        <v>72</v>
      </c>
      <c r="B83">
        <v>2025</v>
      </c>
      <c r="C83">
        <v>3</v>
      </c>
      <c r="D83" t="s">
        <v>91</v>
      </c>
      <c r="E83" t="s">
        <v>95</v>
      </c>
      <c r="F83" t="s">
        <v>50</v>
      </c>
      <c r="H83" t="s">
        <v>51</v>
      </c>
      <c r="I83" t="s">
        <v>33</v>
      </c>
      <c r="J83" t="s">
        <v>32</v>
      </c>
      <c r="L83">
        <v>2024</v>
      </c>
      <c r="M83" t="s">
        <v>34</v>
      </c>
      <c r="N83" t="s">
        <v>35</v>
      </c>
      <c r="O83">
        <v>127160</v>
      </c>
      <c r="P83" t="s">
        <v>36</v>
      </c>
      <c r="Q83" t="s">
        <v>37</v>
      </c>
      <c r="R83">
        <v>1</v>
      </c>
      <c r="S83" t="s">
        <v>38</v>
      </c>
      <c r="T83" t="s">
        <v>39</v>
      </c>
      <c r="V83" t="s">
        <v>40</v>
      </c>
      <c r="W83" t="s">
        <v>41</v>
      </c>
      <c r="X83" t="s">
        <v>43</v>
      </c>
      <c r="Y83" t="s">
        <v>44</v>
      </c>
      <c r="Z83">
        <v>5998.7539999999999</v>
      </c>
      <c r="AA83" t="s">
        <v>81</v>
      </c>
      <c r="AB83" t="s">
        <v>82</v>
      </c>
      <c r="AC83">
        <v>5</v>
      </c>
      <c r="AG83" t="s">
        <v>43</v>
      </c>
      <c r="AH83" t="s">
        <v>44</v>
      </c>
      <c r="AI83" t="s">
        <v>77</v>
      </c>
      <c r="AJ83">
        <v>8.3492896233372631E-3</v>
      </c>
    </row>
    <row r="84" spans="1:36" x14ac:dyDescent="0.3">
      <c r="A84" t="s">
        <v>72</v>
      </c>
      <c r="B84">
        <v>2025</v>
      </c>
      <c r="C84">
        <v>3</v>
      </c>
      <c r="D84" t="s">
        <v>91</v>
      </c>
      <c r="E84" t="s">
        <v>95</v>
      </c>
      <c r="F84" t="s">
        <v>50</v>
      </c>
      <c r="H84" t="s">
        <v>51</v>
      </c>
      <c r="I84" t="s">
        <v>33</v>
      </c>
      <c r="J84" t="s">
        <v>32</v>
      </c>
      <c r="L84">
        <v>2024</v>
      </c>
      <c r="M84" t="s">
        <v>34</v>
      </c>
      <c r="N84" t="s">
        <v>35</v>
      </c>
      <c r="O84">
        <v>127160</v>
      </c>
      <c r="P84" t="s">
        <v>36</v>
      </c>
      <c r="Q84" t="s">
        <v>37</v>
      </c>
      <c r="R84">
        <v>1</v>
      </c>
      <c r="S84" t="s">
        <v>38</v>
      </c>
      <c r="T84" t="s">
        <v>39</v>
      </c>
      <c r="V84" t="s">
        <v>40</v>
      </c>
      <c r="W84" t="s">
        <v>41</v>
      </c>
      <c r="X84" t="s">
        <v>43</v>
      </c>
      <c r="Y84" t="s">
        <v>44</v>
      </c>
      <c r="Z84">
        <v>5998.7539999999999</v>
      </c>
      <c r="AA84" t="s">
        <v>81</v>
      </c>
      <c r="AB84" t="s">
        <v>82</v>
      </c>
      <c r="AC84">
        <v>6</v>
      </c>
      <c r="AG84" t="s">
        <v>43</v>
      </c>
      <c r="AH84" t="s">
        <v>44</v>
      </c>
      <c r="AI84" t="s">
        <v>77</v>
      </c>
      <c r="AJ84">
        <v>9.8292469555517105E-3</v>
      </c>
    </row>
    <row r="85" spans="1:36" x14ac:dyDescent="0.3">
      <c r="A85" t="s">
        <v>72</v>
      </c>
      <c r="B85">
        <v>2025</v>
      </c>
      <c r="C85">
        <v>3</v>
      </c>
      <c r="D85" t="s">
        <v>91</v>
      </c>
      <c r="E85" t="s">
        <v>95</v>
      </c>
      <c r="F85" t="s">
        <v>50</v>
      </c>
      <c r="H85" t="s">
        <v>51</v>
      </c>
      <c r="I85" t="s">
        <v>33</v>
      </c>
      <c r="J85" t="s">
        <v>32</v>
      </c>
      <c r="L85">
        <v>2024</v>
      </c>
      <c r="M85" t="s">
        <v>34</v>
      </c>
      <c r="N85" t="s">
        <v>35</v>
      </c>
      <c r="O85">
        <v>127160</v>
      </c>
      <c r="P85" t="s">
        <v>36</v>
      </c>
      <c r="Q85" t="s">
        <v>37</v>
      </c>
      <c r="R85">
        <v>1</v>
      </c>
      <c r="S85" t="s">
        <v>38</v>
      </c>
      <c r="T85" t="s">
        <v>39</v>
      </c>
      <c r="V85" t="s">
        <v>40</v>
      </c>
      <c r="W85" t="s">
        <v>41</v>
      </c>
      <c r="X85" t="s">
        <v>43</v>
      </c>
      <c r="Y85" t="s">
        <v>44</v>
      </c>
      <c r="Z85">
        <v>5998.7539999999999</v>
      </c>
      <c r="AA85" t="s">
        <v>81</v>
      </c>
      <c r="AB85" t="s">
        <v>82</v>
      </c>
      <c r="AC85">
        <v>7</v>
      </c>
      <c r="AG85" t="s">
        <v>43</v>
      </c>
      <c r="AH85" t="s">
        <v>44</v>
      </c>
      <c r="AI85" t="s">
        <v>77</v>
      </c>
      <c r="AJ85">
        <v>9.9092977904625713E-3</v>
      </c>
    </row>
    <row r="86" spans="1:36" x14ac:dyDescent="0.3">
      <c r="A86" t="s">
        <v>72</v>
      </c>
      <c r="B86">
        <v>2025</v>
      </c>
      <c r="C86">
        <v>3</v>
      </c>
      <c r="D86" t="s">
        <v>91</v>
      </c>
      <c r="E86" t="s">
        <v>95</v>
      </c>
      <c r="F86" t="s">
        <v>50</v>
      </c>
      <c r="H86" t="s">
        <v>51</v>
      </c>
      <c r="I86" t="s">
        <v>33</v>
      </c>
      <c r="J86" t="s">
        <v>32</v>
      </c>
      <c r="L86">
        <v>2024</v>
      </c>
      <c r="M86" t="s">
        <v>34</v>
      </c>
      <c r="N86" t="s">
        <v>35</v>
      </c>
      <c r="O86">
        <v>127160</v>
      </c>
      <c r="P86" t="s">
        <v>36</v>
      </c>
      <c r="Q86" t="s">
        <v>37</v>
      </c>
      <c r="R86">
        <v>2</v>
      </c>
      <c r="S86" t="s">
        <v>38</v>
      </c>
      <c r="T86" t="s">
        <v>52</v>
      </c>
      <c r="V86" t="s">
        <v>40</v>
      </c>
      <c r="W86" t="s">
        <v>41</v>
      </c>
      <c r="X86" t="s">
        <v>43</v>
      </c>
      <c r="Y86" t="s">
        <v>44</v>
      </c>
      <c r="Z86">
        <v>206.82454807327201</v>
      </c>
      <c r="AA86" t="s">
        <v>81</v>
      </c>
      <c r="AB86" t="s">
        <v>82</v>
      </c>
      <c r="AC86">
        <v>1</v>
      </c>
      <c r="AG86" t="s">
        <v>73</v>
      </c>
      <c r="AH86" t="s">
        <v>74</v>
      </c>
      <c r="AI86" t="s">
        <v>75</v>
      </c>
      <c r="AJ86">
        <v>0.65029490822578895</v>
      </c>
    </row>
    <row r="87" spans="1:36" x14ac:dyDescent="0.3">
      <c r="A87" t="s">
        <v>72</v>
      </c>
      <c r="B87">
        <v>2025</v>
      </c>
      <c r="C87">
        <v>3</v>
      </c>
      <c r="D87" t="s">
        <v>91</v>
      </c>
      <c r="E87" t="s">
        <v>95</v>
      </c>
      <c r="F87" t="s">
        <v>50</v>
      </c>
      <c r="H87" t="s">
        <v>51</v>
      </c>
      <c r="I87" t="s">
        <v>33</v>
      </c>
      <c r="J87" t="s">
        <v>32</v>
      </c>
      <c r="L87">
        <v>2024</v>
      </c>
      <c r="M87" t="s">
        <v>34</v>
      </c>
      <c r="N87" t="s">
        <v>35</v>
      </c>
      <c r="O87">
        <v>127160</v>
      </c>
      <c r="P87" t="s">
        <v>36</v>
      </c>
      <c r="Q87" t="s">
        <v>37</v>
      </c>
      <c r="R87">
        <v>2</v>
      </c>
      <c r="S87" t="s">
        <v>38</v>
      </c>
      <c r="T87" t="s">
        <v>52</v>
      </c>
      <c r="V87" t="s">
        <v>40</v>
      </c>
      <c r="W87" t="s">
        <v>41</v>
      </c>
      <c r="X87" t="s">
        <v>43</v>
      </c>
      <c r="Y87" t="s">
        <v>44</v>
      </c>
      <c r="Z87">
        <v>206.82454807327201</v>
      </c>
      <c r="AA87" t="s">
        <v>81</v>
      </c>
      <c r="AB87" t="s">
        <v>82</v>
      </c>
      <c r="AC87">
        <v>2</v>
      </c>
      <c r="AG87" t="s">
        <v>73</v>
      </c>
      <c r="AH87" t="s">
        <v>74</v>
      </c>
      <c r="AI87" t="s">
        <v>75</v>
      </c>
      <c r="AJ87">
        <v>0.95030188033156404</v>
      </c>
    </row>
    <row r="88" spans="1:36" x14ac:dyDescent="0.3">
      <c r="A88" t="s">
        <v>72</v>
      </c>
      <c r="B88">
        <v>2025</v>
      </c>
      <c r="C88">
        <v>3</v>
      </c>
      <c r="D88" t="s">
        <v>91</v>
      </c>
      <c r="E88" t="s">
        <v>95</v>
      </c>
      <c r="F88" t="s">
        <v>50</v>
      </c>
      <c r="H88" t="s">
        <v>51</v>
      </c>
      <c r="I88" t="s">
        <v>33</v>
      </c>
      <c r="J88" t="s">
        <v>32</v>
      </c>
      <c r="L88">
        <v>2024</v>
      </c>
      <c r="M88" t="s">
        <v>34</v>
      </c>
      <c r="N88" t="s">
        <v>35</v>
      </c>
      <c r="O88">
        <v>127160</v>
      </c>
      <c r="P88" t="s">
        <v>36</v>
      </c>
      <c r="Q88" t="s">
        <v>37</v>
      </c>
      <c r="R88">
        <v>2</v>
      </c>
      <c r="S88" t="s">
        <v>38</v>
      </c>
      <c r="T88" t="s">
        <v>52</v>
      </c>
      <c r="V88" t="s">
        <v>40</v>
      </c>
      <c r="W88" t="s">
        <v>41</v>
      </c>
      <c r="X88" t="s">
        <v>43</v>
      </c>
      <c r="Y88" t="s">
        <v>44</v>
      </c>
      <c r="Z88">
        <v>206.82454807327201</v>
      </c>
      <c r="AA88" t="s">
        <v>81</v>
      </c>
      <c r="AB88" t="s">
        <v>82</v>
      </c>
      <c r="AC88">
        <v>3</v>
      </c>
      <c r="AG88" t="s">
        <v>73</v>
      </c>
      <c r="AH88" t="s">
        <v>74</v>
      </c>
      <c r="AI88" t="s">
        <v>75</v>
      </c>
      <c r="AJ88">
        <v>0.30458091395539022</v>
      </c>
    </row>
    <row r="89" spans="1:36" x14ac:dyDescent="0.3">
      <c r="A89" t="s">
        <v>72</v>
      </c>
      <c r="B89">
        <v>2025</v>
      </c>
      <c r="C89">
        <v>3</v>
      </c>
      <c r="D89" t="s">
        <v>91</v>
      </c>
      <c r="E89" t="s">
        <v>95</v>
      </c>
      <c r="F89" t="s">
        <v>50</v>
      </c>
      <c r="H89" t="s">
        <v>51</v>
      </c>
      <c r="I89" t="s">
        <v>33</v>
      </c>
      <c r="J89" t="s">
        <v>32</v>
      </c>
      <c r="L89">
        <v>2024</v>
      </c>
      <c r="M89" t="s">
        <v>34</v>
      </c>
      <c r="N89" t="s">
        <v>35</v>
      </c>
      <c r="O89">
        <v>127160</v>
      </c>
      <c r="P89" t="s">
        <v>36</v>
      </c>
      <c r="Q89" t="s">
        <v>37</v>
      </c>
      <c r="R89">
        <v>2</v>
      </c>
      <c r="S89" t="s">
        <v>38</v>
      </c>
      <c r="T89" t="s">
        <v>52</v>
      </c>
      <c r="V89" t="s">
        <v>40</v>
      </c>
      <c r="W89" t="s">
        <v>41</v>
      </c>
      <c r="X89" t="s">
        <v>43</v>
      </c>
      <c r="Y89" t="s">
        <v>44</v>
      </c>
      <c r="Z89">
        <v>206.82454807327201</v>
      </c>
      <c r="AA89" t="s">
        <v>81</v>
      </c>
      <c r="AB89" t="s">
        <v>82</v>
      </c>
      <c r="AC89">
        <v>4</v>
      </c>
      <c r="AG89" t="s">
        <v>73</v>
      </c>
      <c r="AH89" t="s">
        <v>74</v>
      </c>
      <c r="AI89" t="s">
        <v>75</v>
      </c>
      <c r="AJ89">
        <v>3.5330131168989434</v>
      </c>
    </row>
    <row r="90" spans="1:36" x14ac:dyDescent="0.3">
      <c r="A90" t="s">
        <v>72</v>
      </c>
      <c r="B90">
        <v>2025</v>
      </c>
      <c r="C90">
        <v>3</v>
      </c>
      <c r="D90" t="s">
        <v>91</v>
      </c>
      <c r="E90" t="s">
        <v>95</v>
      </c>
      <c r="F90" t="s">
        <v>50</v>
      </c>
      <c r="H90" t="s">
        <v>51</v>
      </c>
      <c r="I90" t="s">
        <v>33</v>
      </c>
      <c r="J90" t="s">
        <v>32</v>
      </c>
      <c r="L90">
        <v>2024</v>
      </c>
      <c r="M90" t="s">
        <v>34</v>
      </c>
      <c r="N90" t="s">
        <v>35</v>
      </c>
      <c r="O90">
        <v>127160</v>
      </c>
      <c r="P90" t="s">
        <v>36</v>
      </c>
      <c r="Q90" t="s">
        <v>37</v>
      </c>
      <c r="R90">
        <v>2</v>
      </c>
      <c r="S90" t="s">
        <v>38</v>
      </c>
      <c r="T90" t="s">
        <v>52</v>
      </c>
      <c r="V90" t="s">
        <v>40</v>
      </c>
      <c r="W90" t="s">
        <v>41</v>
      </c>
      <c r="X90" t="s">
        <v>43</v>
      </c>
      <c r="Y90" t="s">
        <v>44</v>
      </c>
      <c r="Z90">
        <v>206.82454807327201</v>
      </c>
      <c r="AA90" t="s">
        <v>81</v>
      </c>
      <c r="AB90" t="s">
        <v>82</v>
      </c>
      <c r="AC90">
        <v>5</v>
      </c>
      <c r="AG90" t="s">
        <v>73</v>
      </c>
      <c r="AH90" t="s">
        <v>74</v>
      </c>
      <c r="AI90" t="s">
        <v>75</v>
      </c>
      <c r="AJ90">
        <v>5.2318105917326534</v>
      </c>
    </row>
    <row r="91" spans="1:36" x14ac:dyDescent="0.3">
      <c r="A91" t="s">
        <v>72</v>
      </c>
      <c r="B91">
        <v>2025</v>
      </c>
      <c r="C91">
        <v>3</v>
      </c>
      <c r="D91" t="s">
        <v>91</v>
      </c>
      <c r="E91" t="s">
        <v>95</v>
      </c>
      <c r="F91" t="s">
        <v>50</v>
      </c>
      <c r="H91" t="s">
        <v>51</v>
      </c>
      <c r="I91" t="s">
        <v>33</v>
      </c>
      <c r="J91" t="s">
        <v>32</v>
      </c>
      <c r="L91">
        <v>2024</v>
      </c>
      <c r="M91" t="s">
        <v>34</v>
      </c>
      <c r="N91" t="s">
        <v>35</v>
      </c>
      <c r="O91">
        <v>127160</v>
      </c>
      <c r="P91" t="s">
        <v>36</v>
      </c>
      <c r="Q91" t="s">
        <v>37</v>
      </c>
      <c r="R91">
        <v>2</v>
      </c>
      <c r="S91" t="s">
        <v>38</v>
      </c>
      <c r="T91" t="s">
        <v>52</v>
      </c>
      <c r="V91" t="s">
        <v>40</v>
      </c>
      <c r="W91" t="s">
        <v>41</v>
      </c>
      <c r="X91" t="s">
        <v>43</v>
      </c>
      <c r="Y91" t="s">
        <v>44</v>
      </c>
      <c r="Z91">
        <v>206.82454807327201</v>
      </c>
      <c r="AA91" t="s">
        <v>81</v>
      </c>
      <c r="AB91" t="s">
        <v>82</v>
      </c>
      <c r="AC91">
        <v>6</v>
      </c>
      <c r="AG91" t="s">
        <v>73</v>
      </c>
      <c r="AH91" t="s">
        <v>74</v>
      </c>
      <c r="AI91" t="s">
        <v>75</v>
      </c>
      <c r="AJ91">
        <v>5.1880070757432399</v>
      </c>
    </row>
    <row r="92" spans="1:36" x14ac:dyDescent="0.3">
      <c r="A92" t="s">
        <v>72</v>
      </c>
      <c r="B92">
        <v>2025</v>
      </c>
      <c r="C92">
        <v>3</v>
      </c>
      <c r="D92" t="s">
        <v>91</v>
      </c>
      <c r="E92" t="s">
        <v>95</v>
      </c>
      <c r="F92" t="s">
        <v>50</v>
      </c>
      <c r="H92" t="s">
        <v>51</v>
      </c>
      <c r="I92" t="s">
        <v>33</v>
      </c>
      <c r="J92" t="s">
        <v>32</v>
      </c>
      <c r="L92">
        <v>2024</v>
      </c>
      <c r="M92" t="s">
        <v>34</v>
      </c>
      <c r="N92" t="s">
        <v>35</v>
      </c>
      <c r="O92">
        <v>127160</v>
      </c>
      <c r="P92" t="s">
        <v>36</v>
      </c>
      <c r="Q92" t="s">
        <v>37</v>
      </c>
      <c r="R92">
        <v>2</v>
      </c>
      <c r="S92" t="s">
        <v>38</v>
      </c>
      <c r="T92" t="s">
        <v>52</v>
      </c>
      <c r="V92" t="s">
        <v>40</v>
      </c>
      <c r="W92" t="s">
        <v>41</v>
      </c>
      <c r="X92" t="s">
        <v>43</v>
      </c>
      <c r="Y92" t="s">
        <v>44</v>
      </c>
      <c r="Z92">
        <v>206.82454807327201</v>
      </c>
      <c r="AA92" t="s">
        <v>81</v>
      </c>
      <c r="AB92" t="s">
        <v>82</v>
      </c>
      <c r="AC92">
        <v>7</v>
      </c>
      <c r="AG92" t="s">
        <v>73</v>
      </c>
      <c r="AH92" t="s">
        <v>74</v>
      </c>
      <c r="AI92" t="s">
        <v>75</v>
      </c>
      <c r="AJ92">
        <v>7.4948607456898895</v>
      </c>
    </row>
    <row r="93" spans="1:36" x14ac:dyDescent="0.3">
      <c r="A93" t="s">
        <v>72</v>
      </c>
      <c r="B93">
        <v>2025</v>
      </c>
      <c r="C93">
        <v>3</v>
      </c>
      <c r="D93" t="s">
        <v>91</v>
      </c>
      <c r="E93" t="s">
        <v>95</v>
      </c>
      <c r="F93" t="s">
        <v>50</v>
      </c>
      <c r="H93" t="s">
        <v>51</v>
      </c>
      <c r="I93" t="s">
        <v>33</v>
      </c>
      <c r="J93" t="s">
        <v>32</v>
      </c>
      <c r="L93">
        <v>2024</v>
      </c>
      <c r="M93" t="s">
        <v>34</v>
      </c>
      <c r="N93" t="s">
        <v>35</v>
      </c>
      <c r="O93">
        <v>127160</v>
      </c>
      <c r="P93" t="s">
        <v>36</v>
      </c>
      <c r="Q93" t="s">
        <v>37</v>
      </c>
      <c r="R93">
        <v>2</v>
      </c>
      <c r="S93" t="s">
        <v>38</v>
      </c>
      <c r="T93" t="s">
        <v>52</v>
      </c>
      <c r="V93" t="s">
        <v>40</v>
      </c>
      <c r="W93" t="s">
        <v>41</v>
      </c>
      <c r="X93" t="s">
        <v>43</v>
      </c>
      <c r="Y93" t="s">
        <v>44</v>
      </c>
      <c r="Z93">
        <v>206.82454807327201</v>
      </c>
      <c r="AA93" t="s">
        <v>81</v>
      </c>
      <c r="AB93" t="s">
        <v>82</v>
      </c>
      <c r="AC93">
        <v>1</v>
      </c>
      <c r="AG93" t="s">
        <v>43</v>
      </c>
      <c r="AH93" t="s">
        <v>44</v>
      </c>
      <c r="AI93" t="s">
        <v>77</v>
      </c>
      <c r="AJ93">
        <v>5.4675291723273898E-3</v>
      </c>
    </row>
    <row r="94" spans="1:36" x14ac:dyDescent="0.3">
      <c r="A94" t="s">
        <v>72</v>
      </c>
      <c r="B94">
        <v>2025</v>
      </c>
      <c r="C94">
        <v>3</v>
      </c>
      <c r="D94" t="s">
        <v>91</v>
      </c>
      <c r="E94" t="s">
        <v>95</v>
      </c>
      <c r="F94" t="s">
        <v>50</v>
      </c>
      <c r="H94" t="s">
        <v>51</v>
      </c>
      <c r="I94" t="s">
        <v>33</v>
      </c>
      <c r="J94" t="s">
        <v>32</v>
      </c>
      <c r="L94">
        <v>2024</v>
      </c>
      <c r="M94" t="s">
        <v>34</v>
      </c>
      <c r="N94" t="s">
        <v>35</v>
      </c>
      <c r="O94">
        <v>127160</v>
      </c>
      <c r="P94" t="s">
        <v>36</v>
      </c>
      <c r="Q94" t="s">
        <v>37</v>
      </c>
      <c r="R94">
        <v>2</v>
      </c>
      <c r="S94" t="s">
        <v>38</v>
      </c>
      <c r="T94" t="s">
        <v>52</v>
      </c>
      <c r="V94" t="s">
        <v>40</v>
      </c>
      <c r="W94" t="s">
        <v>41</v>
      </c>
      <c r="X94" t="s">
        <v>43</v>
      </c>
      <c r="Y94" t="s">
        <v>44</v>
      </c>
      <c r="Z94">
        <v>206.82454807327201</v>
      </c>
      <c r="AA94" t="s">
        <v>81</v>
      </c>
      <c r="AB94" t="s">
        <v>82</v>
      </c>
      <c r="AC94">
        <v>2</v>
      </c>
      <c r="AG94" t="s">
        <v>43</v>
      </c>
      <c r="AH94" t="s">
        <v>44</v>
      </c>
      <c r="AI94" t="s">
        <v>77</v>
      </c>
      <c r="AJ94">
        <v>6.1144567118772992E-3</v>
      </c>
    </row>
    <row r="95" spans="1:36" x14ac:dyDescent="0.3">
      <c r="A95" t="s">
        <v>72</v>
      </c>
      <c r="B95">
        <v>2025</v>
      </c>
      <c r="C95">
        <v>3</v>
      </c>
      <c r="D95" t="s">
        <v>91</v>
      </c>
      <c r="E95" t="s">
        <v>95</v>
      </c>
      <c r="F95" t="s">
        <v>50</v>
      </c>
      <c r="H95" t="s">
        <v>51</v>
      </c>
      <c r="I95" t="s">
        <v>33</v>
      </c>
      <c r="J95" t="s">
        <v>32</v>
      </c>
      <c r="L95">
        <v>2024</v>
      </c>
      <c r="M95" t="s">
        <v>34</v>
      </c>
      <c r="N95" t="s">
        <v>35</v>
      </c>
      <c r="O95">
        <v>127160</v>
      </c>
      <c r="P95" t="s">
        <v>36</v>
      </c>
      <c r="Q95" t="s">
        <v>37</v>
      </c>
      <c r="R95">
        <v>2</v>
      </c>
      <c r="S95" t="s">
        <v>38</v>
      </c>
      <c r="T95" t="s">
        <v>52</v>
      </c>
      <c r="V95" t="s">
        <v>40</v>
      </c>
      <c r="W95" t="s">
        <v>41</v>
      </c>
      <c r="X95" t="s">
        <v>43</v>
      </c>
      <c r="Y95" t="s">
        <v>44</v>
      </c>
      <c r="Z95">
        <v>206.82454807327201</v>
      </c>
      <c r="AA95" t="s">
        <v>81</v>
      </c>
      <c r="AB95" t="s">
        <v>82</v>
      </c>
      <c r="AC95">
        <v>3</v>
      </c>
      <c r="AG95" t="s">
        <v>43</v>
      </c>
      <c r="AH95" t="s">
        <v>44</v>
      </c>
      <c r="AI95" t="s">
        <v>77</v>
      </c>
      <c r="AJ95">
        <v>6.9160162542765101E-3</v>
      </c>
    </row>
    <row r="96" spans="1:36" x14ac:dyDescent="0.3">
      <c r="A96" t="s">
        <v>72</v>
      </c>
      <c r="B96">
        <v>2025</v>
      </c>
      <c r="C96">
        <v>3</v>
      </c>
      <c r="D96" t="s">
        <v>91</v>
      </c>
      <c r="E96" t="s">
        <v>95</v>
      </c>
      <c r="F96" t="s">
        <v>50</v>
      </c>
      <c r="H96" t="s">
        <v>51</v>
      </c>
      <c r="I96" t="s">
        <v>33</v>
      </c>
      <c r="J96" t="s">
        <v>32</v>
      </c>
      <c r="L96">
        <v>2024</v>
      </c>
      <c r="M96" t="s">
        <v>34</v>
      </c>
      <c r="N96" t="s">
        <v>35</v>
      </c>
      <c r="O96">
        <v>127160</v>
      </c>
      <c r="P96" t="s">
        <v>36</v>
      </c>
      <c r="Q96" t="s">
        <v>37</v>
      </c>
      <c r="R96">
        <v>2</v>
      </c>
      <c r="S96" t="s">
        <v>38</v>
      </c>
      <c r="T96" t="s">
        <v>52</v>
      </c>
      <c r="V96" t="s">
        <v>40</v>
      </c>
      <c r="W96" t="s">
        <v>41</v>
      </c>
      <c r="X96" t="s">
        <v>43</v>
      </c>
      <c r="Y96" t="s">
        <v>44</v>
      </c>
      <c r="Z96">
        <v>206.82454807327201</v>
      </c>
      <c r="AA96" t="s">
        <v>81</v>
      </c>
      <c r="AB96" t="s">
        <v>82</v>
      </c>
      <c r="AC96">
        <v>4</v>
      </c>
      <c r="AG96" t="s">
        <v>43</v>
      </c>
      <c r="AH96" t="s">
        <v>44</v>
      </c>
      <c r="AI96" t="s">
        <v>77</v>
      </c>
      <c r="AJ96">
        <v>7.4743746738224134E-3</v>
      </c>
    </row>
    <row r="97" spans="1:36" x14ac:dyDescent="0.3">
      <c r="A97" t="s">
        <v>72</v>
      </c>
      <c r="B97">
        <v>2025</v>
      </c>
      <c r="C97">
        <v>3</v>
      </c>
      <c r="D97" t="s">
        <v>91</v>
      </c>
      <c r="E97" t="s">
        <v>95</v>
      </c>
      <c r="F97" t="s">
        <v>50</v>
      </c>
      <c r="H97" t="s">
        <v>51</v>
      </c>
      <c r="I97" t="s">
        <v>33</v>
      </c>
      <c r="J97" t="s">
        <v>32</v>
      </c>
      <c r="L97">
        <v>2024</v>
      </c>
      <c r="M97" t="s">
        <v>34</v>
      </c>
      <c r="N97" t="s">
        <v>35</v>
      </c>
      <c r="O97">
        <v>127160</v>
      </c>
      <c r="P97" t="s">
        <v>36</v>
      </c>
      <c r="Q97" t="s">
        <v>37</v>
      </c>
      <c r="R97">
        <v>2</v>
      </c>
      <c r="S97" t="s">
        <v>38</v>
      </c>
      <c r="T97" t="s">
        <v>52</v>
      </c>
      <c r="V97" t="s">
        <v>40</v>
      </c>
      <c r="W97" t="s">
        <v>41</v>
      </c>
      <c r="X97" t="s">
        <v>43</v>
      </c>
      <c r="Y97" t="s">
        <v>44</v>
      </c>
      <c r="Z97">
        <v>206.82454807327201</v>
      </c>
      <c r="AA97" t="s">
        <v>81</v>
      </c>
      <c r="AB97" t="s">
        <v>82</v>
      </c>
      <c r="AC97">
        <v>5</v>
      </c>
      <c r="AG97" t="s">
        <v>43</v>
      </c>
      <c r="AH97" t="s">
        <v>44</v>
      </c>
      <c r="AI97" t="s">
        <v>77</v>
      </c>
      <c r="AJ97">
        <v>8.3492896233372631E-3</v>
      </c>
    </row>
    <row r="98" spans="1:36" x14ac:dyDescent="0.3">
      <c r="A98" t="s">
        <v>72</v>
      </c>
      <c r="B98">
        <v>2025</v>
      </c>
      <c r="C98">
        <v>3</v>
      </c>
      <c r="D98" t="s">
        <v>91</v>
      </c>
      <c r="E98" t="s">
        <v>95</v>
      </c>
      <c r="F98" t="s">
        <v>50</v>
      </c>
      <c r="H98" t="s">
        <v>51</v>
      </c>
      <c r="I98" t="s">
        <v>33</v>
      </c>
      <c r="J98" t="s">
        <v>32</v>
      </c>
      <c r="L98">
        <v>2024</v>
      </c>
      <c r="M98" t="s">
        <v>34</v>
      </c>
      <c r="N98" t="s">
        <v>35</v>
      </c>
      <c r="O98">
        <v>127160</v>
      </c>
      <c r="P98" t="s">
        <v>36</v>
      </c>
      <c r="Q98" t="s">
        <v>37</v>
      </c>
      <c r="R98">
        <v>2</v>
      </c>
      <c r="S98" t="s">
        <v>38</v>
      </c>
      <c r="T98" t="s">
        <v>52</v>
      </c>
      <c r="V98" t="s">
        <v>40</v>
      </c>
      <c r="W98" t="s">
        <v>41</v>
      </c>
      <c r="X98" t="s">
        <v>43</v>
      </c>
      <c r="Y98" t="s">
        <v>44</v>
      </c>
      <c r="Z98">
        <v>206.82454807327201</v>
      </c>
      <c r="AA98" t="s">
        <v>81</v>
      </c>
      <c r="AB98" t="s">
        <v>82</v>
      </c>
      <c r="AC98">
        <v>6</v>
      </c>
      <c r="AG98" t="s">
        <v>43</v>
      </c>
      <c r="AH98" t="s">
        <v>44</v>
      </c>
      <c r="AI98" t="s">
        <v>77</v>
      </c>
      <c r="AJ98">
        <v>9.8292469555517105E-3</v>
      </c>
    </row>
    <row r="99" spans="1:36" x14ac:dyDescent="0.3">
      <c r="A99" t="s">
        <v>72</v>
      </c>
      <c r="B99">
        <v>2025</v>
      </c>
      <c r="C99">
        <v>3</v>
      </c>
      <c r="D99" t="s">
        <v>91</v>
      </c>
      <c r="E99" t="s">
        <v>95</v>
      </c>
      <c r="F99" t="s">
        <v>50</v>
      </c>
      <c r="H99" t="s">
        <v>51</v>
      </c>
      <c r="I99" t="s">
        <v>33</v>
      </c>
      <c r="J99" t="s">
        <v>32</v>
      </c>
      <c r="L99">
        <v>2024</v>
      </c>
      <c r="M99" t="s">
        <v>34</v>
      </c>
      <c r="N99" t="s">
        <v>35</v>
      </c>
      <c r="O99">
        <v>127160</v>
      </c>
      <c r="P99" t="s">
        <v>36</v>
      </c>
      <c r="Q99" t="s">
        <v>37</v>
      </c>
      <c r="R99">
        <v>2</v>
      </c>
      <c r="S99" t="s">
        <v>38</v>
      </c>
      <c r="T99" t="s">
        <v>52</v>
      </c>
      <c r="V99" t="s">
        <v>40</v>
      </c>
      <c r="W99" t="s">
        <v>41</v>
      </c>
      <c r="X99" t="s">
        <v>43</v>
      </c>
      <c r="Y99" t="s">
        <v>44</v>
      </c>
      <c r="Z99">
        <v>206.82454807327201</v>
      </c>
      <c r="AA99" t="s">
        <v>81</v>
      </c>
      <c r="AB99" t="s">
        <v>82</v>
      </c>
      <c r="AC99">
        <v>7</v>
      </c>
      <c r="AG99" t="s">
        <v>43</v>
      </c>
      <c r="AH99" t="s">
        <v>44</v>
      </c>
      <c r="AI99" t="s">
        <v>77</v>
      </c>
      <c r="AJ99">
        <v>9.9092977904625713E-3</v>
      </c>
    </row>
    <row r="100" spans="1:36" x14ac:dyDescent="0.3">
      <c r="A100" t="s">
        <v>72</v>
      </c>
      <c r="B100">
        <v>2025</v>
      </c>
      <c r="C100">
        <v>3</v>
      </c>
      <c r="D100" t="s">
        <v>91</v>
      </c>
      <c r="E100" t="s">
        <v>95</v>
      </c>
      <c r="F100" t="s">
        <v>50</v>
      </c>
      <c r="H100" t="s">
        <v>51</v>
      </c>
      <c r="I100" t="s">
        <v>33</v>
      </c>
      <c r="J100" t="s">
        <v>32</v>
      </c>
      <c r="L100">
        <v>2024</v>
      </c>
      <c r="M100" t="s">
        <v>34</v>
      </c>
      <c r="N100" t="s">
        <v>35</v>
      </c>
      <c r="O100">
        <v>127160</v>
      </c>
      <c r="P100" t="s">
        <v>36</v>
      </c>
      <c r="Q100" t="s">
        <v>37</v>
      </c>
      <c r="R100">
        <v>2</v>
      </c>
      <c r="S100" t="s">
        <v>38</v>
      </c>
      <c r="T100" t="s">
        <v>39</v>
      </c>
      <c r="V100" t="s">
        <v>40</v>
      </c>
      <c r="W100" t="s">
        <v>41</v>
      </c>
      <c r="X100" t="s">
        <v>43</v>
      </c>
      <c r="Y100" t="s">
        <v>44</v>
      </c>
      <c r="Z100">
        <v>1819.45994532345</v>
      </c>
      <c r="AA100" t="s">
        <v>81</v>
      </c>
      <c r="AB100" t="s">
        <v>82</v>
      </c>
      <c r="AC100">
        <v>1</v>
      </c>
      <c r="AG100" t="s">
        <v>73</v>
      </c>
      <c r="AH100" t="s">
        <v>74</v>
      </c>
      <c r="AI100" t="s">
        <v>75</v>
      </c>
      <c r="AJ100">
        <v>5.7207210129884736</v>
      </c>
    </row>
    <row r="101" spans="1:36" x14ac:dyDescent="0.3">
      <c r="A101" t="s">
        <v>72</v>
      </c>
      <c r="B101">
        <v>2025</v>
      </c>
      <c r="C101">
        <v>3</v>
      </c>
      <c r="D101" t="s">
        <v>91</v>
      </c>
      <c r="E101" t="s">
        <v>95</v>
      </c>
      <c r="F101" t="s">
        <v>50</v>
      </c>
      <c r="H101" t="s">
        <v>51</v>
      </c>
      <c r="I101" t="s">
        <v>33</v>
      </c>
      <c r="J101" t="s">
        <v>32</v>
      </c>
      <c r="L101">
        <v>2024</v>
      </c>
      <c r="M101" t="s">
        <v>34</v>
      </c>
      <c r="N101" t="s">
        <v>35</v>
      </c>
      <c r="O101">
        <v>127160</v>
      </c>
      <c r="P101" t="s">
        <v>36</v>
      </c>
      <c r="Q101" t="s">
        <v>37</v>
      </c>
      <c r="R101">
        <v>2</v>
      </c>
      <c r="S101" t="s">
        <v>38</v>
      </c>
      <c r="T101" t="s">
        <v>39</v>
      </c>
      <c r="V101" t="s">
        <v>40</v>
      </c>
      <c r="W101" t="s">
        <v>41</v>
      </c>
      <c r="X101" t="s">
        <v>43</v>
      </c>
      <c r="Y101" t="s">
        <v>44</v>
      </c>
      <c r="Z101">
        <v>1819.45994532345</v>
      </c>
      <c r="AA101" t="s">
        <v>81</v>
      </c>
      <c r="AB101" t="s">
        <v>82</v>
      </c>
      <c r="AC101">
        <v>2</v>
      </c>
      <c r="AG101" t="s">
        <v>73</v>
      </c>
      <c r="AH101" t="s">
        <v>74</v>
      </c>
      <c r="AI101" t="s">
        <v>75</v>
      </c>
      <c r="AJ101">
        <v>8.3599177338286328</v>
      </c>
    </row>
    <row r="102" spans="1:36" x14ac:dyDescent="0.3">
      <c r="A102" t="s">
        <v>72</v>
      </c>
      <c r="B102">
        <v>2025</v>
      </c>
      <c r="C102">
        <v>3</v>
      </c>
      <c r="D102" t="s">
        <v>91</v>
      </c>
      <c r="E102" t="s">
        <v>95</v>
      </c>
      <c r="F102" t="s">
        <v>50</v>
      </c>
      <c r="H102" t="s">
        <v>51</v>
      </c>
      <c r="I102" t="s">
        <v>33</v>
      </c>
      <c r="J102" t="s">
        <v>32</v>
      </c>
      <c r="L102">
        <v>2024</v>
      </c>
      <c r="M102" t="s">
        <v>34</v>
      </c>
      <c r="N102" t="s">
        <v>35</v>
      </c>
      <c r="O102">
        <v>127160</v>
      </c>
      <c r="P102" t="s">
        <v>36</v>
      </c>
      <c r="Q102" t="s">
        <v>37</v>
      </c>
      <c r="R102">
        <v>2</v>
      </c>
      <c r="S102" t="s">
        <v>38</v>
      </c>
      <c r="T102" t="s">
        <v>39</v>
      </c>
      <c r="V102" t="s">
        <v>40</v>
      </c>
      <c r="W102" t="s">
        <v>41</v>
      </c>
      <c r="X102" t="s">
        <v>43</v>
      </c>
      <c r="Y102" t="s">
        <v>44</v>
      </c>
      <c r="Z102">
        <v>1819.45994532345</v>
      </c>
      <c r="AA102" t="s">
        <v>81</v>
      </c>
      <c r="AB102" t="s">
        <v>82</v>
      </c>
      <c r="AC102">
        <v>3</v>
      </c>
      <c r="AG102" t="s">
        <v>73</v>
      </c>
      <c r="AH102" t="s">
        <v>74</v>
      </c>
      <c r="AI102" t="s">
        <v>75</v>
      </c>
      <c r="AJ102">
        <v>2.6794342268090596</v>
      </c>
    </row>
    <row r="103" spans="1:36" x14ac:dyDescent="0.3">
      <c r="A103" t="s">
        <v>72</v>
      </c>
      <c r="B103">
        <v>2025</v>
      </c>
      <c r="C103">
        <v>3</v>
      </c>
      <c r="D103" t="s">
        <v>91</v>
      </c>
      <c r="E103" t="s">
        <v>95</v>
      </c>
      <c r="F103" t="s">
        <v>50</v>
      </c>
      <c r="H103" t="s">
        <v>51</v>
      </c>
      <c r="I103" t="s">
        <v>33</v>
      </c>
      <c r="J103" t="s">
        <v>32</v>
      </c>
      <c r="L103">
        <v>2024</v>
      </c>
      <c r="M103" t="s">
        <v>34</v>
      </c>
      <c r="N103" t="s">
        <v>35</v>
      </c>
      <c r="O103">
        <v>127160</v>
      </c>
      <c r="P103" t="s">
        <v>36</v>
      </c>
      <c r="Q103" t="s">
        <v>37</v>
      </c>
      <c r="R103">
        <v>2</v>
      </c>
      <c r="S103" t="s">
        <v>38</v>
      </c>
      <c r="T103" t="s">
        <v>39</v>
      </c>
      <c r="V103" t="s">
        <v>40</v>
      </c>
      <c r="W103" t="s">
        <v>41</v>
      </c>
      <c r="X103" t="s">
        <v>43</v>
      </c>
      <c r="Y103" t="s">
        <v>44</v>
      </c>
      <c r="Z103">
        <v>1819.45994532345</v>
      </c>
      <c r="AA103" t="s">
        <v>81</v>
      </c>
      <c r="AB103" t="s">
        <v>82</v>
      </c>
      <c r="AC103">
        <v>4</v>
      </c>
      <c r="AG103" t="s">
        <v>73</v>
      </c>
      <c r="AH103" t="s">
        <v>74</v>
      </c>
      <c r="AI103" t="s">
        <v>75</v>
      </c>
      <c r="AJ103">
        <v>31.080333124782964</v>
      </c>
    </row>
    <row r="104" spans="1:36" x14ac:dyDescent="0.3">
      <c r="A104" t="s">
        <v>72</v>
      </c>
      <c r="B104">
        <v>2025</v>
      </c>
      <c r="C104">
        <v>3</v>
      </c>
      <c r="D104" t="s">
        <v>91</v>
      </c>
      <c r="E104" t="s">
        <v>95</v>
      </c>
      <c r="F104" t="s">
        <v>50</v>
      </c>
      <c r="H104" t="s">
        <v>51</v>
      </c>
      <c r="I104" t="s">
        <v>33</v>
      </c>
      <c r="J104" t="s">
        <v>32</v>
      </c>
      <c r="L104">
        <v>2024</v>
      </c>
      <c r="M104" t="s">
        <v>34</v>
      </c>
      <c r="N104" t="s">
        <v>35</v>
      </c>
      <c r="O104">
        <v>127160</v>
      </c>
      <c r="P104" t="s">
        <v>36</v>
      </c>
      <c r="Q104" t="s">
        <v>37</v>
      </c>
      <c r="R104">
        <v>2</v>
      </c>
      <c r="S104" t="s">
        <v>38</v>
      </c>
      <c r="T104" t="s">
        <v>39</v>
      </c>
      <c r="V104" t="s">
        <v>40</v>
      </c>
      <c r="W104" t="s">
        <v>41</v>
      </c>
      <c r="X104" t="s">
        <v>43</v>
      </c>
      <c r="Y104" t="s">
        <v>44</v>
      </c>
      <c r="Z104">
        <v>1819.45994532345</v>
      </c>
      <c r="AA104" t="s">
        <v>81</v>
      </c>
      <c r="AB104" t="s">
        <v>82</v>
      </c>
      <c r="AC104">
        <v>5</v>
      </c>
      <c r="AG104" t="s">
        <v>73</v>
      </c>
      <c r="AH104" t="s">
        <v>74</v>
      </c>
      <c r="AI104" t="s">
        <v>75</v>
      </c>
      <c r="AJ104">
        <v>46.024854892003468</v>
      </c>
    </row>
    <row r="105" spans="1:36" x14ac:dyDescent="0.3">
      <c r="A105" t="s">
        <v>72</v>
      </c>
      <c r="B105">
        <v>2025</v>
      </c>
      <c r="C105">
        <v>3</v>
      </c>
      <c r="D105" t="s">
        <v>91</v>
      </c>
      <c r="E105" t="s">
        <v>95</v>
      </c>
      <c r="F105" t="s">
        <v>50</v>
      </c>
      <c r="H105" t="s">
        <v>51</v>
      </c>
      <c r="I105" t="s">
        <v>33</v>
      </c>
      <c r="J105" t="s">
        <v>32</v>
      </c>
      <c r="L105">
        <v>2024</v>
      </c>
      <c r="M105" t="s">
        <v>34</v>
      </c>
      <c r="N105" t="s">
        <v>35</v>
      </c>
      <c r="O105">
        <v>127160</v>
      </c>
      <c r="P105" t="s">
        <v>36</v>
      </c>
      <c r="Q105" t="s">
        <v>37</v>
      </c>
      <c r="R105">
        <v>2</v>
      </c>
      <c r="S105" t="s">
        <v>38</v>
      </c>
      <c r="T105" t="s">
        <v>39</v>
      </c>
      <c r="V105" t="s">
        <v>40</v>
      </c>
      <c r="W105" t="s">
        <v>41</v>
      </c>
      <c r="X105" t="s">
        <v>43</v>
      </c>
      <c r="Y105" t="s">
        <v>44</v>
      </c>
      <c r="Z105">
        <v>1819.45994532345</v>
      </c>
      <c r="AA105" t="s">
        <v>81</v>
      </c>
      <c r="AB105" t="s">
        <v>82</v>
      </c>
      <c r="AC105">
        <v>6</v>
      </c>
      <c r="AG105" t="s">
        <v>73</v>
      </c>
      <c r="AH105" t="s">
        <v>74</v>
      </c>
      <c r="AI105" t="s">
        <v>75</v>
      </c>
      <c r="AJ105">
        <v>45.639510195014999</v>
      </c>
    </row>
    <row r="106" spans="1:36" x14ac:dyDescent="0.3">
      <c r="A106" t="s">
        <v>72</v>
      </c>
      <c r="B106">
        <v>2025</v>
      </c>
      <c r="C106">
        <v>3</v>
      </c>
      <c r="D106" t="s">
        <v>91</v>
      </c>
      <c r="E106" t="s">
        <v>95</v>
      </c>
      <c r="F106" t="s">
        <v>50</v>
      </c>
      <c r="H106" t="s">
        <v>51</v>
      </c>
      <c r="I106" t="s">
        <v>33</v>
      </c>
      <c r="J106" t="s">
        <v>32</v>
      </c>
      <c r="L106">
        <v>2024</v>
      </c>
      <c r="M106" t="s">
        <v>34</v>
      </c>
      <c r="N106" t="s">
        <v>35</v>
      </c>
      <c r="O106">
        <v>127160</v>
      </c>
      <c r="P106" t="s">
        <v>36</v>
      </c>
      <c r="Q106" t="s">
        <v>37</v>
      </c>
      <c r="R106">
        <v>2</v>
      </c>
      <c r="S106" t="s">
        <v>38</v>
      </c>
      <c r="T106" t="s">
        <v>39</v>
      </c>
      <c r="V106" t="s">
        <v>40</v>
      </c>
      <c r="W106" t="s">
        <v>41</v>
      </c>
      <c r="X106" t="s">
        <v>43</v>
      </c>
      <c r="Y106" t="s">
        <v>44</v>
      </c>
      <c r="Z106">
        <v>1819.45994532345</v>
      </c>
      <c r="AA106" t="s">
        <v>81</v>
      </c>
      <c r="AB106" t="s">
        <v>82</v>
      </c>
      <c r="AC106">
        <v>7</v>
      </c>
      <c r="AG106" t="s">
        <v>73</v>
      </c>
      <c r="AH106" t="s">
        <v>74</v>
      </c>
      <c r="AI106" t="s">
        <v>75</v>
      </c>
      <c r="AJ106">
        <v>65.933174033716455</v>
      </c>
    </row>
    <row r="107" spans="1:36" x14ac:dyDescent="0.3">
      <c r="A107" t="s">
        <v>72</v>
      </c>
      <c r="B107">
        <v>2025</v>
      </c>
      <c r="C107">
        <v>3</v>
      </c>
      <c r="D107" t="s">
        <v>91</v>
      </c>
      <c r="E107" t="s">
        <v>95</v>
      </c>
      <c r="F107" t="s">
        <v>50</v>
      </c>
      <c r="H107" t="s">
        <v>51</v>
      </c>
      <c r="I107" t="s">
        <v>33</v>
      </c>
      <c r="J107" t="s">
        <v>32</v>
      </c>
      <c r="L107">
        <v>2024</v>
      </c>
      <c r="M107" t="s">
        <v>34</v>
      </c>
      <c r="N107" t="s">
        <v>35</v>
      </c>
      <c r="O107">
        <v>127160</v>
      </c>
      <c r="P107" t="s">
        <v>36</v>
      </c>
      <c r="Q107" t="s">
        <v>37</v>
      </c>
      <c r="R107">
        <v>2</v>
      </c>
      <c r="S107" t="s">
        <v>38</v>
      </c>
      <c r="T107" t="s">
        <v>39</v>
      </c>
      <c r="V107" t="s">
        <v>40</v>
      </c>
      <c r="W107" t="s">
        <v>41</v>
      </c>
      <c r="X107" t="s">
        <v>43</v>
      </c>
      <c r="Y107" t="s">
        <v>44</v>
      </c>
      <c r="Z107">
        <v>1819.45994532345</v>
      </c>
      <c r="AA107" t="s">
        <v>81</v>
      </c>
      <c r="AB107" t="s">
        <v>82</v>
      </c>
      <c r="AC107">
        <v>1</v>
      </c>
      <c r="AG107" t="s">
        <v>43</v>
      </c>
      <c r="AH107" t="s">
        <v>44</v>
      </c>
      <c r="AI107" t="s">
        <v>77</v>
      </c>
      <c r="AJ107">
        <v>5.4675291723273898E-3</v>
      </c>
    </row>
    <row r="108" spans="1:36" x14ac:dyDescent="0.3">
      <c r="A108" t="s">
        <v>72</v>
      </c>
      <c r="B108">
        <v>2025</v>
      </c>
      <c r="C108">
        <v>3</v>
      </c>
      <c r="D108" t="s">
        <v>91</v>
      </c>
      <c r="E108" t="s">
        <v>95</v>
      </c>
      <c r="F108" t="s">
        <v>50</v>
      </c>
      <c r="H108" t="s">
        <v>51</v>
      </c>
      <c r="I108" t="s">
        <v>33</v>
      </c>
      <c r="J108" t="s">
        <v>32</v>
      </c>
      <c r="L108">
        <v>2024</v>
      </c>
      <c r="M108" t="s">
        <v>34</v>
      </c>
      <c r="N108" t="s">
        <v>35</v>
      </c>
      <c r="O108">
        <v>127160</v>
      </c>
      <c r="P108" t="s">
        <v>36</v>
      </c>
      <c r="Q108" t="s">
        <v>37</v>
      </c>
      <c r="R108">
        <v>2</v>
      </c>
      <c r="S108" t="s">
        <v>38</v>
      </c>
      <c r="T108" t="s">
        <v>39</v>
      </c>
      <c r="V108" t="s">
        <v>40</v>
      </c>
      <c r="W108" t="s">
        <v>41</v>
      </c>
      <c r="X108" t="s">
        <v>43</v>
      </c>
      <c r="Y108" t="s">
        <v>44</v>
      </c>
      <c r="Z108">
        <v>1819.45994532345</v>
      </c>
      <c r="AA108" t="s">
        <v>81</v>
      </c>
      <c r="AB108" t="s">
        <v>82</v>
      </c>
      <c r="AC108">
        <v>2</v>
      </c>
      <c r="AG108" t="s">
        <v>43</v>
      </c>
      <c r="AH108" t="s">
        <v>44</v>
      </c>
      <c r="AI108" t="s">
        <v>77</v>
      </c>
      <c r="AJ108">
        <v>6.1144567118772992E-3</v>
      </c>
    </row>
    <row r="109" spans="1:36" x14ac:dyDescent="0.3">
      <c r="A109" t="s">
        <v>72</v>
      </c>
      <c r="B109">
        <v>2025</v>
      </c>
      <c r="C109">
        <v>3</v>
      </c>
      <c r="D109" t="s">
        <v>91</v>
      </c>
      <c r="E109" t="s">
        <v>95</v>
      </c>
      <c r="F109" t="s">
        <v>50</v>
      </c>
      <c r="H109" t="s">
        <v>51</v>
      </c>
      <c r="I109" t="s">
        <v>33</v>
      </c>
      <c r="J109" t="s">
        <v>32</v>
      </c>
      <c r="L109">
        <v>2024</v>
      </c>
      <c r="M109" t="s">
        <v>34</v>
      </c>
      <c r="N109" t="s">
        <v>35</v>
      </c>
      <c r="O109">
        <v>127160</v>
      </c>
      <c r="P109" t="s">
        <v>36</v>
      </c>
      <c r="Q109" t="s">
        <v>37</v>
      </c>
      <c r="R109">
        <v>2</v>
      </c>
      <c r="S109" t="s">
        <v>38</v>
      </c>
      <c r="T109" t="s">
        <v>39</v>
      </c>
      <c r="V109" t="s">
        <v>40</v>
      </c>
      <c r="W109" t="s">
        <v>41</v>
      </c>
      <c r="X109" t="s">
        <v>43</v>
      </c>
      <c r="Y109" t="s">
        <v>44</v>
      </c>
      <c r="Z109">
        <v>1819.45994532345</v>
      </c>
      <c r="AA109" t="s">
        <v>81</v>
      </c>
      <c r="AB109" t="s">
        <v>82</v>
      </c>
      <c r="AC109">
        <v>3</v>
      </c>
      <c r="AG109" t="s">
        <v>43</v>
      </c>
      <c r="AH109" t="s">
        <v>44</v>
      </c>
      <c r="AI109" t="s">
        <v>77</v>
      </c>
      <c r="AJ109">
        <v>6.9160162542765101E-3</v>
      </c>
    </row>
    <row r="110" spans="1:36" x14ac:dyDescent="0.3">
      <c r="A110" t="s">
        <v>72</v>
      </c>
      <c r="B110">
        <v>2025</v>
      </c>
      <c r="C110">
        <v>3</v>
      </c>
      <c r="D110" t="s">
        <v>91</v>
      </c>
      <c r="E110" t="s">
        <v>95</v>
      </c>
      <c r="F110" t="s">
        <v>50</v>
      </c>
      <c r="H110" t="s">
        <v>51</v>
      </c>
      <c r="I110" t="s">
        <v>33</v>
      </c>
      <c r="J110" t="s">
        <v>32</v>
      </c>
      <c r="L110">
        <v>2024</v>
      </c>
      <c r="M110" t="s">
        <v>34</v>
      </c>
      <c r="N110" t="s">
        <v>35</v>
      </c>
      <c r="O110">
        <v>127160</v>
      </c>
      <c r="P110" t="s">
        <v>36</v>
      </c>
      <c r="Q110" t="s">
        <v>37</v>
      </c>
      <c r="R110">
        <v>2</v>
      </c>
      <c r="S110" t="s">
        <v>38</v>
      </c>
      <c r="T110" t="s">
        <v>39</v>
      </c>
      <c r="V110" t="s">
        <v>40</v>
      </c>
      <c r="W110" t="s">
        <v>41</v>
      </c>
      <c r="X110" t="s">
        <v>43</v>
      </c>
      <c r="Y110" t="s">
        <v>44</v>
      </c>
      <c r="Z110">
        <v>1819.45994532345</v>
      </c>
      <c r="AA110" t="s">
        <v>81</v>
      </c>
      <c r="AB110" t="s">
        <v>82</v>
      </c>
      <c r="AC110">
        <v>4</v>
      </c>
      <c r="AG110" t="s">
        <v>43</v>
      </c>
      <c r="AH110" t="s">
        <v>44</v>
      </c>
      <c r="AI110" t="s">
        <v>77</v>
      </c>
      <c r="AJ110">
        <v>7.4743746738224134E-3</v>
      </c>
    </row>
    <row r="111" spans="1:36" x14ac:dyDescent="0.3">
      <c r="A111" t="s">
        <v>72</v>
      </c>
      <c r="B111">
        <v>2025</v>
      </c>
      <c r="C111">
        <v>3</v>
      </c>
      <c r="D111" t="s">
        <v>91</v>
      </c>
      <c r="E111" t="s">
        <v>95</v>
      </c>
      <c r="F111" t="s">
        <v>50</v>
      </c>
      <c r="H111" t="s">
        <v>51</v>
      </c>
      <c r="I111" t="s">
        <v>33</v>
      </c>
      <c r="J111" t="s">
        <v>32</v>
      </c>
      <c r="L111">
        <v>2024</v>
      </c>
      <c r="M111" t="s">
        <v>34</v>
      </c>
      <c r="N111" t="s">
        <v>35</v>
      </c>
      <c r="O111">
        <v>127160</v>
      </c>
      <c r="P111" t="s">
        <v>36</v>
      </c>
      <c r="Q111" t="s">
        <v>37</v>
      </c>
      <c r="R111">
        <v>2</v>
      </c>
      <c r="S111" t="s">
        <v>38</v>
      </c>
      <c r="T111" t="s">
        <v>39</v>
      </c>
      <c r="V111" t="s">
        <v>40</v>
      </c>
      <c r="W111" t="s">
        <v>41</v>
      </c>
      <c r="X111" t="s">
        <v>43</v>
      </c>
      <c r="Y111" t="s">
        <v>44</v>
      </c>
      <c r="Z111">
        <v>1819.45994532345</v>
      </c>
      <c r="AA111" t="s">
        <v>81</v>
      </c>
      <c r="AB111" t="s">
        <v>82</v>
      </c>
      <c r="AC111">
        <v>5</v>
      </c>
      <c r="AG111" t="s">
        <v>43</v>
      </c>
      <c r="AH111" t="s">
        <v>44</v>
      </c>
      <c r="AI111" t="s">
        <v>77</v>
      </c>
      <c r="AJ111">
        <v>8.3492896233372631E-3</v>
      </c>
    </row>
    <row r="112" spans="1:36" x14ac:dyDescent="0.3">
      <c r="A112" t="s">
        <v>72</v>
      </c>
      <c r="B112">
        <v>2025</v>
      </c>
      <c r="C112">
        <v>3</v>
      </c>
      <c r="D112" t="s">
        <v>91</v>
      </c>
      <c r="E112" t="s">
        <v>95</v>
      </c>
      <c r="F112" t="s">
        <v>50</v>
      </c>
      <c r="H112" t="s">
        <v>51</v>
      </c>
      <c r="I112" t="s">
        <v>33</v>
      </c>
      <c r="J112" t="s">
        <v>32</v>
      </c>
      <c r="L112">
        <v>2024</v>
      </c>
      <c r="M112" t="s">
        <v>34</v>
      </c>
      <c r="N112" t="s">
        <v>35</v>
      </c>
      <c r="O112">
        <v>127160</v>
      </c>
      <c r="P112" t="s">
        <v>36</v>
      </c>
      <c r="Q112" t="s">
        <v>37</v>
      </c>
      <c r="R112">
        <v>2</v>
      </c>
      <c r="S112" t="s">
        <v>38</v>
      </c>
      <c r="T112" t="s">
        <v>39</v>
      </c>
      <c r="V112" t="s">
        <v>40</v>
      </c>
      <c r="W112" t="s">
        <v>41</v>
      </c>
      <c r="X112" t="s">
        <v>43</v>
      </c>
      <c r="Y112" t="s">
        <v>44</v>
      </c>
      <c r="Z112">
        <v>1819.45994532345</v>
      </c>
      <c r="AA112" t="s">
        <v>81</v>
      </c>
      <c r="AB112" t="s">
        <v>82</v>
      </c>
      <c r="AC112">
        <v>6</v>
      </c>
      <c r="AG112" t="s">
        <v>43</v>
      </c>
      <c r="AH112" t="s">
        <v>44</v>
      </c>
      <c r="AI112" t="s">
        <v>77</v>
      </c>
      <c r="AJ112">
        <v>9.8292469555517105E-3</v>
      </c>
    </row>
    <row r="113" spans="1:36" x14ac:dyDescent="0.3">
      <c r="A113" t="s">
        <v>72</v>
      </c>
      <c r="B113">
        <v>2025</v>
      </c>
      <c r="C113">
        <v>3</v>
      </c>
      <c r="D113" t="s">
        <v>91</v>
      </c>
      <c r="E113" t="s">
        <v>95</v>
      </c>
      <c r="F113" t="s">
        <v>50</v>
      </c>
      <c r="H113" t="s">
        <v>51</v>
      </c>
      <c r="I113" t="s">
        <v>33</v>
      </c>
      <c r="J113" t="s">
        <v>32</v>
      </c>
      <c r="L113">
        <v>2024</v>
      </c>
      <c r="M113" t="s">
        <v>34</v>
      </c>
      <c r="N113" t="s">
        <v>35</v>
      </c>
      <c r="O113">
        <v>127160</v>
      </c>
      <c r="P113" t="s">
        <v>36</v>
      </c>
      <c r="Q113" t="s">
        <v>37</v>
      </c>
      <c r="R113">
        <v>2</v>
      </c>
      <c r="S113" t="s">
        <v>38</v>
      </c>
      <c r="T113" t="s">
        <v>39</v>
      </c>
      <c r="V113" t="s">
        <v>40</v>
      </c>
      <c r="W113" t="s">
        <v>41</v>
      </c>
      <c r="X113" t="s">
        <v>43</v>
      </c>
      <c r="Y113" t="s">
        <v>44</v>
      </c>
      <c r="Z113">
        <v>1819.45994532345</v>
      </c>
      <c r="AA113" t="s">
        <v>81</v>
      </c>
      <c r="AB113" t="s">
        <v>82</v>
      </c>
      <c r="AC113">
        <v>7</v>
      </c>
      <c r="AG113" t="s">
        <v>43</v>
      </c>
      <c r="AH113" t="s">
        <v>44</v>
      </c>
      <c r="AI113" t="s">
        <v>77</v>
      </c>
      <c r="AJ113">
        <v>9.9092977904625713E-3</v>
      </c>
    </row>
    <row r="114" spans="1:36" x14ac:dyDescent="0.3">
      <c r="A114" t="s">
        <v>72</v>
      </c>
      <c r="B114">
        <v>2025</v>
      </c>
      <c r="C114">
        <v>3</v>
      </c>
      <c r="D114" t="s">
        <v>91</v>
      </c>
      <c r="E114" t="s">
        <v>95</v>
      </c>
      <c r="F114" t="s">
        <v>78</v>
      </c>
      <c r="H114" t="s">
        <v>51</v>
      </c>
      <c r="I114" t="s">
        <v>33</v>
      </c>
      <c r="J114" t="s">
        <v>32</v>
      </c>
      <c r="L114">
        <v>2024</v>
      </c>
      <c r="M114" t="s">
        <v>34</v>
      </c>
      <c r="N114" t="s">
        <v>35</v>
      </c>
      <c r="O114">
        <v>127160</v>
      </c>
      <c r="P114" t="s">
        <v>53</v>
      </c>
      <c r="Q114" t="s">
        <v>37</v>
      </c>
      <c r="R114">
        <v>1</v>
      </c>
      <c r="S114" t="s">
        <v>38</v>
      </c>
      <c r="T114" t="s">
        <v>52</v>
      </c>
      <c r="V114" t="s">
        <v>40</v>
      </c>
      <c r="W114" t="s">
        <v>41</v>
      </c>
      <c r="X114" t="s">
        <v>43</v>
      </c>
      <c r="Y114" t="s">
        <v>44</v>
      </c>
      <c r="Z114">
        <v>10888.5</v>
      </c>
      <c r="AA114" t="s">
        <v>81</v>
      </c>
      <c r="AB114" t="s">
        <v>82</v>
      </c>
      <c r="AC114">
        <v>1</v>
      </c>
      <c r="AG114" t="s">
        <v>73</v>
      </c>
      <c r="AH114" t="s">
        <v>74</v>
      </c>
      <c r="AI114" t="s">
        <v>75</v>
      </c>
      <c r="AJ114">
        <v>34.235472404890743</v>
      </c>
    </row>
    <row r="115" spans="1:36" x14ac:dyDescent="0.3">
      <c r="A115" t="s">
        <v>72</v>
      </c>
      <c r="B115">
        <v>2025</v>
      </c>
      <c r="C115">
        <v>3</v>
      </c>
      <c r="D115" t="s">
        <v>91</v>
      </c>
      <c r="E115" t="s">
        <v>95</v>
      </c>
      <c r="F115" t="s">
        <v>78</v>
      </c>
      <c r="H115" t="s">
        <v>51</v>
      </c>
      <c r="I115" t="s">
        <v>33</v>
      </c>
      <c r="J115" t="s">
        <v>32</v>
      </c>
      <c r="L115">
        <v>2024</v>
      </c>
      <c r="M115" t="s">
        <v>34</v>
      </c>
      <c r="N115" t="s">
        <v>35</v>
      </c>
      <c r="O115">
        <v>127160</v>
      </c>
      <c r="P115" t="s">
        <v>53</v>
      </c>
      <c r="Q115" t="s">
        <v>37</v>
      </c>
      <c r="R115">
        <v>1</v>
      </c>
      <c r="S115" t="s">
        <v>38</v>
      </c>
      <c r="T115" t="s">
        <v>52</v>
      </c>
      <c r="V115" t="s">
        <v>40</v>
      </c>
      <c r="W115" t="s">
        <v>41</v>
      </c>
      <c r="X115" t="s">
        <v>43</v>
      </c>
      <c r="Y115" t="s">
        <v>44</v>
      </c>
      <c r="Z115">
        <v>10888.5</v>
      </c>
      <c r="AA115" t="s">
        <v>81</v>
      </c>
      <c r="AB115" t="s">
        <v>82</v>
      </c>
      <c r="AC115">
        <v>2</v>
      </c>
      <c r="AG115" t="s">
        <v>73</v>
      </c>
      <c r="AH115" t="s">
        <v>74</v>
      </c>
      <c r="AI115" t="s">
        <v>75</v>
      </c>
      <c r="AJ115">
        <v>50.029660987459096</v>
      </c>
    </row>
    <row r="116" spans="1:36" x14ac:dyDescent="0.3">
      <c r="A116" t="s">
        <v>72</v>
      </c>
      <c r="B116">
        <v>2025</v>
      </c>
      <c r="C116">
        <v>3</v>
      </c>
      <c r="D116" t="s">
        <v>91</v>
      </c>
      <c r="E116" t="s">
        <v>95</v>
      </c>
      <c r="F116" t="s">
        <v>78</v>
      </c>
      <c r="H116" t="s">
        <v>51</v>
      </c>
      <c r="I116" t="s">
        <v>33</v>
      </c>
      <c r="J116" t="s">
        <v>32</v>
      </c>
      <c r="L116">
        <v>2024</v>
      </c>
      <c r="M116" t="s">
        <v>34</v>
      </c>
      <c r="N116" t="s">
        <v>35</v>
      </c>
      <c r="O116">
        <v>127160</v>
      </c>
      <c r="P116" t="s">
        <v>53</v>
      </c>
      <c r="Q116" t="s">
        <v>37</v>
      </c>
      <c r="R116">
        <v>1</v>
      </c>
      <c r="S116" t="s">
        <v>38</v>
      </c>
      <c r="T116" t="s">
        <v>52</v>
      </c>
      <c r="V116" t="s">
        <v>40</v>
      </c>
      <c r="W116" t="s">
        <v>41</v>
      </c>
      <c r="X116" t="s">
        <v>43</v>
      </c>
      <c r="Y116" t="s">
        <v>44</v>
      </c>
      <c r="Z116">
        <v>10888.5</v>
      </c>
      <c r="AA116" t="s">
        <v>81</v>
      </c>
      <c r="AB116" t="s">
        <v>82</v>
      </c>
      <c r="AC116">
        <v>3</v>
      </c>
      <c r="AG116" t="s">
        <v>73</v>
      </c>
      <c r="AH116" t="s">
        <v>74</v>
      </c>
      <c r="AI116" t="s">
        <v>75</v>
      </c>
      <c r="AJ116">
        <v>16.034988653418214</v>
      </c>
    </row>
    <row r="117" spans="1:36" x14ac:dyDescent="0.3">
      <c r="A117" t="s">
        <v>72</v>
      </c>
      <c r="B117">
        <v>2025</v>
      </c>
      <c r="C117">
        <v>3</v>
      </c>
      <c r="D117" t="s">
        <v>91</v>
      </c>
      <c r="E117" t="s">
        <v>95</v>
      </c>
      <c r="F117" t="s">
        <v>78</v>
      </c>
      <c r="H117" t="s">
        <v>51</v>
      </c>
      <c r="I117" t="s">
        <v>33</v>
      </c>
      <c r="J117" t="s">
        <v>32</v>
      </c>
      <c r="L117">
        <v>2024</v>
      </c>
      <c r="M117" t="s">
        <v>34</v>
      </c>
      <c r="N117" t="s">
        <v>35</v>
      </c>
      <c r="O117">
        <v>127160</v>
      </c>
      <c r="P117" t="s">
        <v>53</v>
      </c>
      <c r="Q117" t="s">
        <v>37</v>
      </c>
      <c r="R117">
        <v>1</v>
      </c>
      <c r="S117" t="s">
        <v>38</v>
      </c>
      <c r="T117" t="s">
        <v>52</v>
      </c>
      <c r="V117" t="s">
        <v>40</v>
      </c>
      <c r="W117" t="s">
        <v>41</v>
      </c>
      <c r="X117" t="s">
        <v>43</v>
      </c>
      <c r="Y117" t="s">
        <v>44</v>
      </c>
      <c r="Z117">
        <v>10888.5</v>
      </c>
      <c r="AA117" t="s">
        <v>81</v>
      </c>
      <c r="AB117" t="s">
        <v>82</v>
      </c>
      <c r="AC117">
        <v>4</v>
      </c>
      <c r="AG117" t="s">
        <v>73</v>
      </c>
      <c r="AH117" t="s">
        <v>74</v>
      </c>
      <c r="AI117" t="s">
        <v>75</v>
      </c>
      <c r="AJ117">
        <v>185.99926208820051</v>
      </c>
    </row>
    <row r="118" spans="1:36" x14ac:dyDescent="0.3">
      <c r="A118" t="s">
        <v>72</v>
      </c>
      <c r="B118">
        <v>2025</v>
      </c>
      <c r="C118">
        <v>3</v>
      </c>
      <c r="D118" t="s">
        <v>91</v>
      </c>
      <c r="E118" t="s">
        <v>95</v>
      </c>
      <c r="F118" t="s">
        <v>78</v>
      </c>
      <c r="H118" t="s">
        <v>51</v>
      </c>
      <c r="I118" t="s">
        <v>33</v>
      </c>
      <c r="J118" t="s">
        <v>32</v>
      </c>
      <c r="L118">
        <v>2024</v>
      </c>
      <c r="M118" t="s">
        <v>34</v>
      </c>
      <c r="N118" t="s">
        <v>35</v>
      </c>
      <c r="O118">
        <v>127160</v>
      </c>
      <c r="P118" t="s">
        <v>53</v>
      </c>
      <c r="Q118" t="s">
        <v>37</v>
      </c>
      <c r="R118">
        <v>1</v>
      </c>
      <c r="S118" t="s">
        <v>38</v>
      </c>
      <c r="T118" t="s">
        <v>52</v>
      </c>
      <c r="V118" t="s">
        <v>40</v>
      </c>
      <c r="W118" t="s">
        <v>41</v>
      </c>
      <c r="X118" t="s">
        <v>43</v>
      </c>
      <c r="Y118" t="s">
        <v>44</v>
      </c>
      <c r="Z118">
        <v>10888.5</v>
      </c>
      <c r="AA118" t="s">
        <v>81</v>
      </c>
      <c r="AB118" t="s">
        <v>82</v>
      </c>
      <c r="AC118">
        <v>5</v>
      </c>
      <c r="AG118" t="s">
        <v>73</v>
      </c>
      <c r="AH118" t="s">
        <v>74</v>
      </c>
      <c r="AI118" t="s">
        <v>75</v>
      </c>
      <c r="AJ118">
        <v>275.434275857329</v>
      </c>
    </row>
    <row r="119" spans="1:36" x14ac:dyDescent="0.3">
      <c r="A119" t="s">
        <v>72</v>
      </c>
      <c r="B119">
        <v>2025</v>
      </c>
      <c r="C119">
        <v>3</v>
      </c>
      <c r="D119" t="s">
        <v>91</v>
      </c>
      <c r="E119" t="s">
        <v>95</v>
      </c>
      <c r="F119" t="s">
        <v>78</v>
      </c>
      <c r="H119" t="s">
        <v>51</v>
      </c>
      <c r="I119" t="s">
        <v>33</v>
      </c>
      <c r="J119" t="s">
        <v>32</v>
      </c>
      <c r="L119">
        <v>2024</v>
      </c>
      <c r="M119" t="s">
        <v>34</v>
      </c>
      <c r="N119" t="s">
        <v>35</v>
      </c>
      <c r="O119">
        <v>127160</v>
      </c>
      <c r="P119" t="s">
        <v>53</v>
      </c>
      <c r="Q119" t="s">
        <v>37</v>
      </c>
      <c r="R119">
        <v>1</v>
      </c>
      <c r="S119" t="s">
        <v>38</v>
      </c>
      <c r="T119" t="s">
        <v>52</v>
      </c>
      <c r="V119" t="s">
        <v>40</v>
      </c>
      <c r="W119" t="s">
        <v>41</v>
      </c>
      <c r="X119" t="s">
        <v>43</v>
      </c>
      <c r="Y119" t="s">
        <v>44</v>
      </c>
      <c r="Z119">
        <v>10888.5</v>
      </c>
      <c r="AA119" t="s">
        <v>81</v>
      </c>
      <c r="AB119" t="s">
        <v>82</v>
      </c>
      <c r="AC119">
        <v>6</v>
      </c>
      <c r="AG119" t="s">
        <v>73</v>
      </c>
      <c r="AH119" t="s">
        <v>74</v>
      </c>
      <c r="AI119" t="s">
        <v>75</v>
      </c>
      <c r="AJ119">
        <v>273.12819281112422</v>
      </c>
    </row>
    <row r="120" spans="1:36" x14ac:dyDescent="0.3">
      <c r="A120" t="s">
        <v>72</v>
      </c>
      <c r="B120">
        <v>2025</v>
      </c>
      <c r="C120">
        <v>3</v>
      </c>
      <c r="D120" t="s">
        <v>91</v>
      </c>
      <c r="E120" t="s">
        <v>95</v>
      </c>
      <c r="F120" t="s">
        <v>78</v>
      </c>
      <c r="H120" t="s">
        <v>51</v>
      </c>
      <c r="I120" t="s">
        <v>33</v>
      </c>
      <c r="J120" t="s">
        <v>32</v>
      </c>
      <c r="L120">
        <v>2024</v>
      </c>
      <c r="M120" t="s">
        <v>34</v>
      </c>
      <c r="N120" t="s">
        <v>35</v>
      </c>
      <c r="O120">
        <v>127160</v>
      </c>
      <c r="P120" t="s">
        <v>53</v>
      </c>
      <c r="Q120" t="s">
        <v>37</v>
      </c>
      <c r="R120">
        <v>1</v>
      </c>
      <c r="S120" t="s">
        <v>38</v>
      </c>
      <c r="T120" t="s">
        <v>52</v>
      </c>
      <c r="V120" t="s">
        <v>40</v>
      </c>
      <c r="W120" t="s">
        <v>41</v>
      </c>
      <c r="X120" t="s">
        <v>43</v>
      </c>
      <c r="Y120" t="s">
        <v>44</v>
      </c>
      <c r="Z120">
        <v>10888.5</v>
      </c>
      <c r="AA120" t="s">
        <v>81</v>
      </c>
      <c r="AB120" t="s">
        <v>82</v>
      </c>
      <c r="AC120">
        <v>7</v>
      </c>
      <c r="AG120" t="s">
        <v>73</v>
      </c>
      <c r="AH120" t="s">
        <v>74</v>
      </c>
      <c r="AI120" t="s">
        <v>75</v>
      </c>
      <c r="AJ120">
        <v>394.5749766634716</v>
      </c>
    </row>
    <row r="121" spans="1:36" x14ac:dyDescent="0.3">
      <c r="A121" t="s">
        <v>72</v>
      </c>
      <c r="B121">
        <v>2025</v>
      </c>
      <c r="C121">
        <v>3</v>
      </c>
      <c r="D121" t="s">
        <v>91</v>
      </c>
      <c r="E121" t="s">
        <v>95</v>
      </c>
      <c r="F121" t="s">
        <v>78</v>
      </c>
      <c r="H121" t="s">
        <v>51</v>
      </c>
      <c r="I121" t="s">
        <v>33</v>
      </c>
      <c r="J121" t="s">
        <v>32</v>
      </c>
      <c r="L121">
        <v>2024</v>
      </c>
      <c r="M121" t="s">
        <v>34</v>
      </c>
      <c r="N121" t="s">
        <v>35</v>
      </c>
      <c r="O121">
        <v>127160</v>
      </c>
      <c r="P121" t="s">
        <v>53</v>
      </c>
      <c r="Q121" t="s">
        <v>37</v>
      </c>
      <c r="R121">
        <v>1</v>
      </c>
      <c r="S121" t="s">
        <v>38</v>
      </c>
      <c r="T121" t="s">
        <v>52</v>
      </c>
      <c r="V121" t="s">
        <v>40</v>
      </c>
      <c r="W121" t="s">
        <v>41</v>
      </c>
      <c r="X121" t="s">
        <v>43</v>
      </c>
      <c r="Y121" t="s">
        <v>44</v>
      </c>
      <c r="Z121">
        <v>10888.5</v>
      </c>
      <c r="AA121" t="s">
        <v>81</v>
      </c>
      <c r="AB121" t="s">
        <v>82</v>
      </c>
      <c r="AC121">
        <v>1</v>
      </c>
      <c r="AG121" t="s">
        <v>43</v>
      </c>
      <c r="AH121" t="s">
        <v>44</v>
      </c>
      <c r="AI121" t="s">
        <v>77</v>
      </c>
      <c r="AJ121">
        <v>5.4675291723273898E-3</v>
      </c>
    </row>
    <row r="122" spans="1:36" x14ac:dyDescent="0.3">
      <c r="A122" t="s">
        <v>72</v>
      </c>
      <c r="B122">
        <v>2025</v>
      </c>
      <c r="C122">
        <v>3</v>
      </c>
      <c r="D122" t="s">
        <v>91</v>
      </c>
      <c r="E122" t="s">
        <v>95</v>
      </c>
      <c r="F122" t="s">
        <v>78</v>
      </c>
      <c r="H122" t="s">
        <v>51</v>
      </c>
      <c r="I122" t="s">
        <v>33</v>
      </c>
      <c r="J122" t="s">
        <v>32</v>
      </c>
      <c r="L122">
        <v>2024</v>
      </c>
      <c r="M122" t="s">
        <v>34</v>
      </c>
      <c r="N122" t="s">
        <v>35</v>
      </c>
      <c r="O122">
        <v>127160</v>
      </c>
      <c r="P122" t="s">
        <v>53</v>
      </c>
      <c r="Q122" t="s">
        <v>37</v>
      </c>
      <c r="R122">
        <v>1</v>
      </c>
      <c r="S122" t="s">
        <v>38</v>
      </c>
      <c r="T122" t="s">
        <v>52</v>
      </c>
      <c r="V122" t="s">
        <v>40</v>
      </c>
      <c r="W122" t="s">
        <v>41</v>
      </c>
      <c r="X122" t="s">
        <v>43</v>
      </c>
      <c r="Y122" t="s">
        <v>44</v>
      </c>
      <c r="Z122">
        <v>10888.5</v>
      </c>
      <c r="AA122" t="s">
        <v>81</v>
      </c>
      <c r="AB122" t="s">
        <v>82</v>
      </c>
      <c r="AC122">
        <v>2</v>
      </c>
      <c r="AG122" t="s">
        <v>43</v>
      </c>
      <c r="AH122" t="s">
        <v>44</v>
      </c>
      <c r="AI122" t="s">
        <v>77</v>
      </c>
      <c r="AJ122">
        <v>6.1144567118772992E-3</v>
      </c>
    </row>
    <row r="123" spans="1:36" x14ac:dyDescent="0.3">
      <c r="A123" t="s">
        <v>72</v>
      </c>
      <c r="B123">
        <v>2025</v>
      </c>
      <c r="C123">
        <v>3</v>
      </c>
      <c r="D123" t="s">
        <v>91</v>
      </c>
      <c r="E123" t="s">
        <v>95</v>
      </c>
      <c r="F123" t="s">
        <v>78</v>
      </c>
      <c r="H123" t="s">
        <v>51</v>
      </c>
      <c r="I123" t="s">
        <v>33</v>
      </c>
      <c r="J123" t="s">
        <v>32</v>
      </c>
      <c r="L123">
        <v>2024</v>
      </c>
      <c r="M123" t="s">
        <v>34</v>
      </c>
      <c r="N123" t="s">
        <v>35</v>
      </c>
      <c r="O123">
        <v>127160</v>
      </c>
      <c r="P123" t="s">
        <v>53</v>
      </c>
      <c r="Q123" t="s">
        <v>37</v>
      </c>
      <c r="R123">
        <v>1</v>
      </c>
      <c r="S123" t="s">
        <v>38</v>
      </c>
      <c r="T123" t="s">
        <v>52</v>
      </c>
      <c r="V123" t="s">
        <v>40</v>
      </c>
      <c r="W123" t="s">
        <v>41</v>
      </c>
      <c r="X123" t="s">
        <v>43</v>
      </c>
      <c r="Y123" t="s">
        <v>44</v>
      </c>
      <c r="Z123">
        <v>10888.5</v>
      </c>
      <c r="AA123" t="s">
        <v>81</v>
      </c>
      <c r="AB123" t="s">
        <v>82</v>
      </c>
      <c r="AC123">
        <v>3</v>
      </c>
      <c r="AG123" t="s">
        <v>43</v>
      </c>
      <c r="AH123" t="s">
        <v>44</v>
      </c>
      <c r="AI123" t="s">
        <v>77</v>
      </c>
      <c r="AJ123">
        <v>6.9160162542765101E-3</v>
      </c>
    </row>
    <row r="124" spans="1:36" x14ac:dyDescent="0.3">
      <c r="A124" t="s">
        <v>72</v>
      </c>
      <c r="B124">
        <v>2025</v>
      </c>
      <c r="C124">
        <v>3</v>
      </c>
      <c r="D124" t="s">
        <v>91</v>
      </c>
      <c r="E124" t="s">
        <v>95</v>
      </c>
      <c r="F124" t="s">
        <v>78</v>
      </c>
      <c r="H124" t="s">
        <v>51</v>
      </c>
      <c r="I124" t="s">
        <v>33</v>
      </c>
      <c r="J124" t="s">
        <v>32</v>
      </c>
      <c r="L124">
        <v>2024</v>
      </c>
      <c r="M124" t="s">
        <v>34</v>
      </c>
      <c r="N124" t="s">
        <v>35</v>
      </c>
      <c r="O124">
        <v>127160</v>
      </c>
      <c r="P124" t="s">
        <v>53</v>
      </c>
      <c r="Q124" t="s">
        <v>37</v>
      </c>
      <c r="R124">
        <v>1</v>
      </c>
      <c r="S124" t="s">
        <v>38</v>
      </c>
      <c r="T124" t="s">
        <v>52</v>
      </c>
      <c r="V124" t="s">
        <v>40</v>
      </c>
      <c r="W124" t="s">
        <v>41</v>
      </c>
      <c r="X124" t="s">
        <v>43</v>
      </c>
      <c r="Y124" t="s">
        <v>44</v>
      </c>
      <c r="Z124">
        <v>10888.5</v>
      </c>
      <c r="AA124" t="s">
        <v>81</v>
      </c>
      <c r="AB124" t="s">
        <v>82</v>
      </c>
      <c r="AC124">
        <v>4</v>
      </c>
      <c r="AG124" t="s">
        <v>43</v>
      </c>
      <c r="AH124" t="s">
        <v>44</v>
      </c>
      <c r="AI124" t="s">
        <v>77</v>
      </c>
      <c r="AJ124">
        <v>7.4743746738224134E-3</v>
      </c>
    </row>
    <row r="125" spans="1:36" x14ac:dyDescent="0.3">
      <c r="A125" t="s">
        <v>72</v>
      </c>
      <c r="B125">
        <v>2025</v>
      </c>
      <c r="C125">
        <v>3</v>
      </c>
      <c r="D125" t="s">
        <v>91</v>
      </c>
      <c r="E125" t="s">
        <v>95</v>
      </c>
      <c r="F125" t="s">
        <v>78</v>
      </c>
      <c r="H125" t="s">
        <v>51</v>
      </c>
      <c r="I125" t="s">
        <v>33</v>
      </c>
      <c r="J125" t="s">
        <v>32</v>
      </c>
      <c r="L125">
        <v>2024</v>
      </c>
      <c r="M125" t="s">
        <v>34</v>
      </c>
      <c r="N125" t="s">
        <v>35</v>
      </c>
      <c r="O125">
        <v>127160</v>
      </c>
      <c r="P125" t="s">
        <v>53</v>
      </c>
      <c r="Q125" t="s">
        <v>37</v>
      </c>
      <c r="R125">
        <v>1</v>
      </c>
      <c r="S125" t="s">
        <v>38</v>
      </c>
      <c r="T125" t="s">
        <v>52</v>
      </c>
      <c r="V125" t="s">
        <v>40</v>
      </c>
      <c r="W125" t="s">
        <v>41</v>
      </c>
      <c r="X125" t="s">
        <v>43</v>
      </c>
      <c r="Y125" t="s">
        <v>44</v>
      </c>
      <c r="Z125">
        <v>10888.5</v>
      </c>
      <c r="AA125" t="s">
        <v>81</v>
      </c>
      <c r="AB125" t="s">
        <v>82</v>
      </c>
      <c r="AC125">
        <v>5</v>
      </c>
      <c r="AG125" t="s">
        <v>43</v>
      </c>
      <c r="AH125" t="s">
        <v>44</v>
      </c>
      <c r="AI125" t="s">
        <v>77</v>
      </c>
      <c r="AJ125">
        <v>8.3492896233372631E-3</v>
      </c>
    </row>
    <row r="126" spans="1:36" x14ac:dyDescent="0.3">
      <c r="A126" t="s">
        <v>72</v>
      </c>
      <c r="B126">
        <v>2025</v>
      </c>
      <c r="C126">
        <v>3</v>
      </c>
      <c r="D126" t="s">
        <v>91</v>
      </c>
      <c r="E126" t="s">
        <v>95</v>
      </c>
      <c r="F126" t="s">
        <v>78</v>
      </c>
      <c r="H126" t="s">
        <v>51</v>
      </c>
      <c r="I126" t="s">
        <v>33</v>
      </c>
      <c r="J126" t="s">
        <v>32</v>
      </c>
      <c r="L126">
        <v>2024</v>
      </c>
      <c r="M126" t="s">
        <v>34</v>
      </c>
      <c r="N126" t="s">
        <v>35</v>
      </c>
      <c r="O126">
        <v>127160</v>
      </c>
      <c r="P126" t="s">
        <v>53</v>
      </c>
      <c r="Q126" t="s">
        <v>37</v>
      </c>
      <c r="R126">
        <v>1</v>
      </c>
      <c r="S126" t="s">
        <v>38</v>
      </c>
      <c r="T126" t="s">
        <v>52</v>
      </c>
      <c r="V126" t="s">
        <v>40</v>
      </c>
      <c r="W126" t="s">
        <v>41</v>
      </c>
      <c r="X126" t="s">
        <v>43</v>
      </c>
      <c r="Y126" t="s">
        <v>44</v>
      </c>
      <c r="Z126">
        <v>10888.5</v>
      </c>
      <c r="AA126" t="s">
        <v>81</v>
      </c>
      <c r="AB126" t="s">
        <v>82</v>
      </c>
      <c r="AC126">
        <v>6</v>
      </c>
      <c r="AG126" t="s">
        <v>43</v>
      </c>
      <c r="AH126" t="s">
        <v>44</v>
      </c>
      <c r="AI126" t="s">
        <v>77</v>
      </c>
      <c r="AJ126">
        <v>9.8292469555517105E-3</v>
      </c>
    </row>
    <row r="127" spans="1:36" x14ac:dyDescent="0.3">
      <c r="A127" t="s">
        <v>72</v>
      </c>
      <c r="B127">
        <v>2025</v>
      </c>
      <c r="C127">
        <v>3</v>
      </c>
      <c r="D127" t="s">
        <v>91</v>
      </c>
      <c r="E127" t="s">
        <v>95</v>
      </c>
      <c r="F127" t="s">
        <v>78</v>
      </c>
      <c r="H127" t="s">
        <v>51</v>
      </c>
      <c r="I127" t="s">
        <v>33</v>
      </c>
      <c r="J127" t="s">
        <v>32</v>
      </c>
      <c r="L127">
        <v>2024</v>
      </c>
      <c r="M127" t="s">
        <v>34</v>
      </c>
      <c r="N127" t="s">
        <v>35</v>
      </c>
      <c r="O127">
        <v>127160</v>
      </c>
      <c r="P127" t="s">
        <v>53</v>
      </c>
      <c r="Q127" t="s">
        <v>37</v>
      </c>
      <c r="R127">
        <v>1</v>
      </c>
      <c r="S127" t="s">
        <v>38</v>
      </c>
      <c r="T127" t="s">
        <v>52</v>
      </c>
      <c r="V127" t="s">
        <v>40</v>
      </c>
      <c r="W127" t="s">
        <v>41</v>
      </c>
      <c r="X127" t="s">
        <v>43</v>
      </c>
      <c r="Y127" t="s">
        <v>44</v>
      </c>
      <c r="Z127">
        <v>10888.5</v>
      </c>
      <c r="AA127" t="s">
        <v>81</v>
      </c>
      <c r="AB127" t="s">
        <v>82</v>
      </c>
      <c r="AC127">
        <v>7</v>
      </c>
      <c r="AG127" t="s">
        <v>43</v>
      </c>
      <c r="AH127" t="s">
        <v>44</v>
      </c>
      <c r="AI127" t="s">
        <v>77</v>
      </c>
      <c r="AJ127">
        <v>9.9092977904625713E-3</v>
      </c>
    </row>
    <row r="128" spans="1:36" x14ac:dyDescent="0.3">
      <c r="A128" t="s">
        <v>72</v>
      </c>
      <c r="B128">
        <v>2025</v>
      </c>
      <c r="C128">
        <v>3</v>
      </c>
      <c r="D128" t="s">
        <v>91</v>
      </c>
      <c r="E128" t="s">
        <v>95</v>
      </c>
      <c r="F128" t="s">
        <v>78</v>
      </c>
      <c r="H128" t="s">
        <v>51</v>
      </c>
      <c r="I128" t="s">
        <v>33</v>
      </c>
      <c r="J128" t="s">
        <v>32</v>
      </c>
      <c r="L128">
        <v>2024</v>
      </c>
      <c r="M128" t="s">
        <v>34</v>
      </c>
      <c r="N128" t="s">
        <v>35</v>
      </c>
      <c r="O128">
        <v>127160</v>
      </c>
      <c r="P128" t="s">
        <v>53</v>
      </c>
      <c r="Q128" t="s">
        <v>37</v>
      </c>
      <c r="R128">
        <v>1</v>
      </c>
      <c r="S128" t="s">
        <v>38</v>
      </c>
      <c r="T128" t="s">
        <v>39</v>
      </c>
      <c r="V128" t="s">
        <v>40</v>
      </c>
      <c r="W128" t="s">
        <v>41</v>
      </c>
      <c r="X128" t="s">
        <v>43</v>
      </c>
      <c r="Y128" t="s">
        <v>44</v>
      </c>
      <c r="Z128">
        <v>249986.1</v>
      </c>
      <c r="AA128" t="s">
        <v>81</v>
      </c>
      <c r="AB128" t="s">
        <v>82</v>
      </c>
      <c r="AC128">
        <v>1</v>
      </c>
      <c r="AG128" t="s">
        <v>73</v>
      </c>
      <c r="AH128" t="s">
        <v>74</v>
      </c>
      <c r="AI128" t="s">
        <v>75</v>
      </c>
      <c r="AJ128">
        <v>786.00286799432956</v>
      </c>
    </row>
    <row r="129" spans="1:36" x14ac:dyDescent="0.3">
      <c r="A129" t="s">
        <v>72</v>
      </c>
      <c r="B129">
        <v>2025</v>
      </c>
      <c r="C129">
        <v>3</v>
      </c>
      <c r="D129" t="s">
        <v>91</v>
      </c>
      <c r="E129" t="s">
        <v>95</v>
      </c>
      <c r="F129" t="s">
        <v>78</v>
      </c>
      <c r="H129" t="s">
        <v>51</v>
      </c>
      <c r="I129" t="s">
        <v>33</v>
      </c>
      <c r="J129" t="s">
        <v>32</v>
      </c>
      <c r="L129">
        <v>2024</v>
      </c>
      <c r="M129" t="s">
        <v>34</v>
      </c>
      <c r="N129" t="s">
        <v>35</v>
      </c>
      <c r="O129">
        <v>127160</v>
      </c>
      <c r="P129" t="s">
        <v>53</v>
      </c>
      <c r="Q129" t="s">
        <v>37</v>
      </c>
      <c r="R129">
        <v>1</v>
      </c>
      <c r="S129" t="s">
        <v>38</v>
      </c>
      <c r="T129" t="s">
        <v>39</v>
      </c>
      <c r="V129" t="s">
        <v>40</v>
      </c>
      <c r="W129" t="s">
        <v>41</v>
      </c>
      <c r="X129" t="s">
        <v>43</v>
      </c>
      <c r="Y129" t="s">
        <v>44</v>
      </c>
      <c r="Z129">
        <v>249986.1</v>
      </c>
      <c r="AA129" t="s">
        <v>81</v>
      </c>
      <c r="AB129" t="s">
        <v>82</v>
      </c>
      <c r="AC129">
        <v>2</v>
      </c>
      <c r="AG129" t="s">
        <v>73</v>
      </c>
      <c r="AH129" t="s">
        <v>74</v>
      </c>
      <c r="AI129" t="s">
        <v>75</v>
      </c>
      <c r="AJ129">
        <v>1148.6173333863294</v>
      </c>
    </row>
    <row r="130" spans="1:36" x14ac:dyDescent="0.3">
      <c r="A130" t="s">
        <v>72</v>
      </c>
      <c r="B130">
        <v>2025</v>
      </c>
      <c r="C130">
        <v>3</v>
      </c>
      <c r="D130" t="s">
        <v>91</v>
      </c>
      <c r="E130" t="s">
        <v>95</v>
      </c>
      <c r="F130" t="s">
        <v>78</v>
      </c>
      <c r="H130" t="s">
        <v>51</v>
      </c>
      <c r="I130" t="s">
        <v>33</v>
      </c>
      <c r="J130" t="s">
        <v>32</v>
      </c>
      <c r="L130">
        <v>2024</v>
      </c>
      <c r="M130" t="s">
        <v>34</v>
      </c>
      <c r="N130" t="s">
        <v>35</v>
      </c>
      <c r="O130">
        <v>127160</v>
      </c>
      <c r="P130" t="s">
        <v>53</v>
      </c>
      <c r="Q130" t="s">
        <v>37</v>
      </c>
      <c r="R130">
        <v>1</v>
      </c>
      <c r="S130" t="s">
        <v>38</v>
      </c>
      <c r="T130" t="s">
        <v>39</v>
      </c>
      <c r="V130" t="s">
        <v>40</v>
      </c>
      <c r="W130" t="s">
        <v>41</v>
      </c>
      <c r="X130" t="s">
        <v>43</v>
      </c>
      <c r="Y130" t="s">
        <v>44</v>
      </c>
      <c r="Z130">
        <v>249986.1</v>
      </c>
      <c r="AA130" t="s">
        <v>81</v>
      </c>
      <c r="AB130" t="s">
        <v>82</v>
      </c>
      <c r="AC130">
        <v>3</v>
      </c>
      <c r="AG130" t="s">
        <v>73</v>
      </c>
      <c r="AH130" t="s">
        <v>74</v>
      </c>
      <c r="AI130" t="s">
        <v>75</v>
      </c>
      <c r="AJ130">
        <v>368.14292850367553</v>
      </c>
    </row>
    <row r="131" spans="1:36" x14ac:dyDescent="0.3">
      <c r="A131" t="s">
        <v>72</v>
      </c>
      <c r="B131">
        <v>2025</v>
      </c>
      <c r="C131">
        <v>3</v>
      </c>
      <c r="D131" t="s">
        <v>91</v>
      </c>
      <c r="E131" t="s">
        <v>95</v>
      </c>
      <c r="F131" t="s">
        <v>78</v>
      </c>
      <c r="H131" t="s">
        <v>51</v>
      </c>
      <c r="I131" t="s">
        <v>33</v>
      </c>
      <c r="J131" t="s">
        <v>32</v>
      </c>
      <c r="L131">
        <v>2024</v>
      </c>
      <c r="M131" t="s">
        <v>34</v>
      </c>
      <c r="N131" t="s">
        <v>35</v>
      </c>
      <c r="O131">
        <v>127160</v>
      </c>
      <c r="P131" t="s">
        <v>53</v>
      </c>
      <c r="Q131" t="s">
        <v>37</v>
      </c>
      <c r="R131">
        <v>1</v>
      </c>
      <c r="S131" t="s">
        <v>38</v>
      </c>
      <c r="T131" t="s">
        <v>39</v>
      </c>
      <c r="V131" t="s">
        <v>40</v>
      </c>
      <c r="W131" t="s">
        <v>41</v>
      </c>
      <c r="X131" t="s">
        <v>43</v>
      </c>
      <c r="Y131" t="s">
        <v>44</v>
      </c>
      <c r="Z131">
        <v>249986.1</v>
      </c>
      <c r="AA131" t="s">
        <v>81</v>
      </c>
      <c r="AB131" t="s">
        <v>82</v>
      </c>
      <c r="AC131">
        <v>4</v>
      </c>
      <c r="AG131" t="s">
        <v>73</v>
      </c>
      <c r="AH131" t="s">
        <v>74</v>
      </c>
      <c r="AI131" t="s">
        <v>75</v>
      </c>
      <c r="AJ131">
        <v>4270.3062986000914</v>
      </c>
    </row>
    <row r="132" spans="1:36" x14ac:dyDescent="0.3">
      <c r="A132" t="s">
        <v>72</v>
      </c>
      <c r="B132">
        <v>2025</v>
      </c>
      <c r="C132">
        <v>3</v>
      </c>
      <c r="D132" t="s">
        <v>91</v>
      </c>
      <c r="E132" t="s">
        <v>95</v>
      </c>
      <c r="F132" t="s">
        <v>78</v>
      </c>
      <c r="H132" t="s">
        <v>51</v>
      </c>
      <c r="I132" t="s">
        <v>33</v>
      </c>
      <c r="J132" t="s">
        <v>32</v>
      </c>
      <c r="L132">
        <v>2024</v>
      </c>
      <c r="M132" t="s">
        <v>34</v>
      </c>
      <c r="N132" t="s">
        <v>35</v>
      </c>
      <c r="O132">
        <v>127160</v>
      </c>
      <c r="P132" t="s">
        <v>53</v>
      </c>
      <c r="Q132" t="s">
        <v>37</v>
      </c>
      <c r="R132">
        <v>1</v>
      </c>
      <c r="S132" t="s">
        <v>38</v>
      </c>
      <c r="T132" t="s">
        <v>39</v>
      </c>
      <c r="V132" t="s">
        <v>40</v>
      </c>
      <c r="W132" t="s">
        <v>41</v>
      </c>
      <c r="X132" t="s">
        <v>43</v>
      </c>
      <c r="Y132" t="s">
        <v>44</v>
      </c>
      <c r="Z132">
        <v>249986.1</v>
      </c>
      <c r="AA132" t="s">
        <v>81</v>
      </c>
      <c r="AB132" t="s">
        <v>82</v>
      </c>
      <c r="AC132">
        <v>5</v>
      </c>
      <c r="AG132" t="s">
        <v>73</v>
      </c>
      <c r="AH132" t="s">
        <v>74</v>
      </c>
      <c r="AI132" t="s">
        <v>75</v>
      </c>
      <c r="AJ132">
        <v>6323.6203726773956</v>
      </c>
    </row>
    <row r="133" spans="1:36" x14ac:dyDescent="0.3">
      <c r="A133" t="s">
        <v>72</v>
      </c>
      <c r="B133">
        <v>2025</v>
      </c>
      <c r="C133">
        <v>3</v>
      </c>
      <c r="D133" t="s">
        <v>91</v>
      </c>
      <c r="E133" t="s">
        <v>95</v>
      </c>
      <c r="F133" t="s">
        <v>78</v>
      </c>
      <c r="H133" t="s">
        <v>51</v>
      </c>
      <c r="I133" t="s">
        <v>33</v>
      </c>
      <c r="J133" t="s">
        <v>32</v>
      </c>
      <c r="L133">
        <v>2024</v>
      </c>
      <c r="M133" t="s">
        <v>34</v>
      </c>
      <c r="N133" t="s">
        <v>35</v>
      </c>
      <c r="O133">
        <v>127160</v>
      </c>
      <c r="P133" t="s">
        <v>53</v>
      </c>
      <c r="Q133" t="s">
        <v>37</v>
      </c>
      <c r="R133">
        <v>1</v>
      </c>
      <c r="S133" t="s">
        <v>38</v>
      </c>
      <c r="T133" t="s">
        <v>39</v>
      </c>
      <c r="V133" t="s">
        <v>40</v>
      </c>
      <c r="W133" t="s">
        <v>41</v>
      </c>
      <c r="X133" t="s">
        <v>43</v>
      </c>
      <c r="Y133" t="s">
        <v>44</v>
      </c>
      <c r="Z133">
        <v>249986.1</v>
      </c>
      <c r="AA133" t="s">
        <v>81</v>
      </c>
      <c r="AB133" t="s">
        <v>82</v>
      </c>
      <c r="AC133">
        <v>6</v>
      </c>
      <c r="AG133" t="s">
        <v>73</v>
      </c>
      <c r="AH133" t="s">
        <v>74</v>
      </c>
      <c r="AI133" t="s">
        <v>75</v>
      </c>
      <c r="AJ133">
        <v>6270.6756413556486</v>
      </c>
    </row>
    <row r="134" spans="1:36" x14ac:dyDescent="0.3">
      <c r="A134" t="s">
        <v>72</v>
      </c>
      <c r="B134">
        <v>2025</v>
      </c>
      <c r="C134">
        <v>3</v>
      </c>
      <c r="D134" t="s">
        <v>91</v>
      </c>
      <c r="E134" t="s">
        <v>95</v>
      </c>
      <c r="F134" t="s">
        <v>78</v>
      </c>
      <c r="H134" t="s">
        <v>51</v>
      </c>
      <c r="I134" t="s">
        <v>33</v>
      </c>
      <c r="J134" t="s">
        <v>32</v>
      </c>
      <c r="L134">
        <v>2024</v>
      </c>
      <c r="M134" t="s">
        <v>34</v>
      </c>
      <c r="N134" t="s">
        <v>35</v>
      </c>
      <c r="O134">
        <v>127160</v>
      </c>
      <c r="P134" t="s">
        <v>53</v>
      </c>
      <c r="Q134" t="s">
        <v>37</v>
      </c>
      <c r="R134">
        <v>1</v>
      </c>
      <c r="S134" t="s">
        <v>38</v>
      </c>
      <c r="T134" t="s">
        <v>39</v>
      </c>
      <c r="V134" t="s">
        <v>40</v>
      </c>
      <c r="W134" t="s">
        <v>41</v>
      </c>
      <c r="X134" t="s">
        <v>43</v>
      </c>
      <c r="Y134" t="s">
        <v>44</v>
      </c>
      <c r="Z134">
        <v>249986.1</v>
      </c>
      <c r="AA134" t="s">
        <v>81</v>
      </c>
      <c r="AB134" t="s">
        <v>82</v>
      </c>
      <c r="AC134">
        <v>7</v>
      </c>
      <c r="AG134" t="s">
        <v>73</v>
      </c>
      <c r="AH134" t="s">
        <v>74</v>
      </c>
      <c r="AI134" t="s">
        <v>75</v>
      </c>
      <c r="AJ134">
        <v>9058.9392086781718</v>
      </c>
    </row>
    <row r="135" spans="1:36" x14ac:dyDescent="0.3">
      <c r="A135" t="s">
        <v>72</v>
      </c>
      <c r="B135">
        <v>2025</v>
      </c>
      <c r="C135">
        <v>3</v>
      </c>
      <c r="D135" t="s">
        <v>91</v>
      </c>
      <c r="E135" t="s">
        <v>95</v>
      </c>
      <c r="F135" t="s">
        <v>78</v>
      </c>
      <c r="H135" t="s">
        <v>51</v>
      </c>
      <c r="I135" t="s">
        <v>33</v>
      </c>
      <c r="J135" t="s">
        <v>32</v>
      </c>
      <c r="L135">
        <v>2024</v>
      </c>
      <c r="M135" t="s">
        <v>34</v>
      </c>
      <c r="N135" t="s">
        <v>35</v>
      </c>
      <c r="O135">
        <v>127160</v>
      </c>
      <c r="P135" t="s">
        <v>53</v>
      </c>
      <c r="Q135" t="s">
        <v>37</v>
      </c>
      <c r="R135">
        <v>1</v>
      </c>
      <c r="S135" t="s">
        <v>38</v>
      </c>
      <c r="T135" t="s">
        <v>39</v>
      </c>
      <c r="V135" t="s">
        <v>40</v>
      </c>
      <c r="W135" t="s">
        <v>41</v>
      </c>
      <c r="X135" t="s">
        <v>43</v>
      </c>
      <c r="Y135" t="s">
        <v>44</v>
      </c>
      <c r="Z135">
        <v>249986.1</v>
      </c>
      <c r="AA135" t="s">
        <v>81</v>
      </c>
      <c r="AB135" t="s">
        <v>82</v>
      </c>
      <c r="AC135">
        <v>1</v>
      </c>
      <c r="AG135" t="s">
        <v>43</v>
      </c>
      <c r="AH135" t="s">
        <v>44</v>
      </c>
      <c r="AI135" t="s">
        <v>77</v>
      </c>
      <c r="AJ135">
        <v>5.4675291723273898E-3</v>
      </c>
    </row>
    <row r="136" spans="1:36" x14ac:dyDescent="0.3">
      <c r="A136" t="s">
        <v>72</v>
      </c>
      <c r="B136">
        <v>2025</v>
      </c>
      <c r="C136">
        <v>3</v>
      </c>
      <c r="D136" t="s">
        <v>91</v>
      </c>
      <c r="E136" t="s">
        <v>95</v>
      </c>
      <c r="F136" t="s">
        <v>78</v>
      </c>
      <c r="H136" t="s">
        <v>51</v>
      </c>
      <c r="I136" t="s">
        <v>33</v>
      </c>
      <c r="J136" t="s">
        <v>32</v>
      </c>
      <c r="L136">
        <v>2024</v>
      </c>
      <c r="M136" t="s">
        <v>34</v>
      </c>
      <c r="N136" t="s">
        <v>35</v>
      </c>
      <c r="O136">
        <v>127160</v>
      </c>
      <c r="P136" t="s">
        <v>53</v>
      </c>
      <c r="Q136" t="s">
        <v>37</v>
      </c>
      <c r="R136">
        <v>1</v>
      </c>
      <c r="S136" t="s">
        <v>38</v>
      </c>
      <c r="T136" t="s">
        <v>39</v>
      </c>
      <c r="V136" t="s">
        <v>40</v>
      </c>
      <c r="W136" t="s">
        <v>41</v>
      </c>
      <c r="X136" t="s">
        <v>43</v>
      </c>
      <c r="Y136" t="s">
        <v>44</v>
      </c>
      <c r="Z136">
        <v>249986.1</v>
      </c>
      <c r="AA136" t="s">
        <v>81</v>
      </c>
      <c r="AB136" t="s">
        <v>82</v>
      </c>
      <c r="AC136">
        <v>2</v>
      </c>
      <c r="AG136" t="s">
        <v>43</v>
      </c>
      <c r="AH136" t="s">
        <v>44</v>
      </c>
      <c r="AI136" t="s">
        <v>77</v>
      </c>
      <c r="AJ136">
        <v>6.1144567118772992E-3</v>
      </c>
    </row>
    <row r="137" spans="1:36" x14ac:dyDescent="0.3">
      <c r="A137" t="s">
        <v>72</v>
      </c>
      <c r="B137">
        <v>2025</v>
      </c>
      <c r="C137">
        <v>3</v>
      </c>
      <c r="D137" t="s">
        <v>91</v>
      </c>
      <c r="E137" t="s">
        <v>95</v>
      </c>
      <c r="F137" t="s">
        <v>78</v>
      </c>
      <c r="H137" t="s">
        <v>51</v>
      </c>
      <c r="I137" t="s">
        <v>33</v>
      </c>
      <c r="J137" t="s">
        <v>32</v>
      </c>
      <c r="L137">
        <v>2024</v>
      </c>
      <c r="M137" t="s">
        <v>34</v>
      </c>
      <c r="N137" t="s">
        <v>35</v>
      </c>
      <c r="O137">
        <v>127160</v>
      </c>
      <c r="P137" t="s">
        <v>53</v>
      </c>
      <c r="Q137" t="s">
        <v>37</v>
      </c>
      <c r="R137">
        <v>1</v>
      </c>
      <c r="S137" t="s">
        <v>38</v>
      </c>
      <c r="T137" t="s">
        <v>39</v>
      </c>
      <c r="V137" t="s">
        <v>40</v>
      </c>
      <c r="W137" t="s">
        <v>41</v>
      </c>
      <c r="X137" t="s">
        <v>43</v>
      </c>
      <c r="Y137" t="s">
        <v>44</v>
      </c>
      <c r="Z137">
        <v>249986.1</v>
      </c>
      <c r="AA137" t="s">
        <v>81</v>
      </c>
      <c r="AB137" t="s">
        <v>82</v>
      </c>
      <c r="AC137">
        <v>3</v>
      </c>
      <c r="AG137" t="s">
        <v>43</v>
      </c>
      <c r="AH137" t="s">
        <v>44</v>
      </c>
      <c r="AI137" t="s">
        <v>77</v>
      </c>
      <c r="AJ137">
        <v>6.9160162542765101E-3</v>
      </c>
    </row>
    <row r="138" spans="1:36" x14ac:dyDescent="0.3">
      <c r="A138" t="s">
        <v>72</v>
      </c>
      <c r="B138">
        <v>2025</v>
      </c>
      <c r="C138">
        <v>3</v>
      </c>
      <c r="D138" t="s">
        <v>91</v>
      </c>
      <c r="E138" t="s">
        <v>95</v>
      </c>
      <c r="F138" t="s">
        <v>78</v>
      </c>
      <c r="H138" t="s">
        <v>51</v>
      </c>
      <c r="I138" t="s">
        <v>33</v>
      </c>
      <c r="J138" t="s">
        <v>32</v>
      </c>
      <c r="L138">
        <v>2024</v>
      </c>
      <c r="M138" t="s">
        <v>34</v>
      </c>
      <c r="N138" t="s">
        <v>35</v>
      </c>
      <c r="O138">
        <v>127160</v>
      </c>
      <c r="P138" t="s">
        <v>53</v>
      </c>
      <c r="Q138" t="s">
        <v>37</v>
      </c>
      <c r="R138">
        <v>1</v>
      </c>
      <c r="S138" t="s">
        <v>38</v>
      </c>
      <c r="T138" t="s">
        <v>39</v>
      </c>
      <c r="V138" t="s">
        <v>40</v>
      </c>
      <c r="W138" t="s">
        <v>41</v>
      </c>
      <c r="X138" t="s">
        <v>43</v>
      </c>
      <c r="Y138" t="s">
        <v>44</v>
      </c>
      <c r="Z138">
        <v>249986.1</v>
      </c>
      <c r="AA138" t="s">
        <v>81</v>
      </c>
      <c r="AB138" t="s">
        <v>82</v>
      </c>
      <c r="AC138">
        <v>4</v>
      </c>
      <c r="AG138" t="s">
        <v>43</v>
      </c>
      <c r="AH138" t="s">
        <v>44</v>
      </c>
      <c r="AI138" t="s">
        <v>77</v>
      </c>
      <c r="AJ138">
        <v>7.4743746738224134E-3</v>
      </c>
    </row>
    <row r="139" spans="1:36" x14ac:dyDescent="0.3">
      <c r="A139" t="s">
        <v>72</v>
      </c>
      <c r="B139">
        <v>2025</v>
      </c>
      <c r="C139">
        <v>3</v>
      </c>
      <c r="D139" t="s">
        <v>91</v>
      </c>
      <c r="E139" t="s">
        <v>95</v>
      </c>
      <c r="F139" t="s">
        <v>78</v>
      </c>
      <c r="H139" t="s">
        <v>51</v>
      </c>
      <c r="I139" t="s">
        <v>33</v>
      </c>
      <c r="J139" t="s">
        <v>32</v>
      </c>
      <c r="L139">
        <v>2024</v>
      </c>
      <c r="M139" t="s">
        <v>34</v>
      </c>
      <c r="N139" t="s">
        <v>35</v>
      </c>
      <c r="O139">
        <v>127160</v>
      </c>
      <c r="P139" t="s">
        <v>53</v>
      </c>
      <c r="Q139" t="s">
        <v>37</v>
      </c>
      <c r="R139">
        <v>1</v>
      </c>
      <c r="S139" t="s">
        <v>38</v>
      </c>
      <c r="T139" t="s">
        <v>39</v>
      </c>
      <c r="V139" t="s">
        <v>40</v>
      </c>
      <c r="W139" t="s">
        <v>41</v>
      </c>
      <c r="X139" t="s">
        <v>43</v>
      </c>
      <c r="Y139" t="s">
        <v>44</v>
      </c>
      <c r="Z139">
        <v>249986.1</v>
      </c>
      <c r="AA139" t="s">
        <v>81</v>
      </c>
      <c r="AB139" t="s">
        <v>82</v>
      </c>
      <c r="AC139">
        <v>5</v>
      </c>
      <c r="AG139" t="s">
        <v>43</v>
      </c>
      <c r="AH139" t="s">
        <v>44</v>
      </c>
      <c r="AI139" t="s">
        <v>77</v>
      </c>
      <c r="AJ139">
        <v>8.3492896233372631E-3</v>
      </c>
    </row>
    <row r="140" spans="1:36" x14ac:dyDescent="0.3">
      <c r="A140" t="s">
        <v>72</v>
      </c>
      <c r="B140">
        <v>2025</v>
      </c>
      <c r="C140">
        <v>3</v>
      </c>
      <c r="D140" t="s">
        <v>91</v>
      </c>
      <c r="E140" t="s">
        <v>95</v>
      </c>
      <c r="F140" t="s">
        <v>78</v>
      </c>
      <c r="H140" t="s">
        <v>51</v>
      </c>
      <c r="I140" t="s">
        <v>33</v>
      </c>
      <c r="J140" t="s">
        <v>32</v>
      </c>
      <c r="L140">
        <v>2024</v>
      </c>
      <c r="M140" t="s">
        <v>34</v>
      </c>
      <c r="N140" t="s">
        <v>35</v>
      </c>
      <c r="O140">
        <v>127160</v>
      </c>
      <c r="P140" t="s">
        <v>53</v>
      </c>
      <c r="Q140" t="s">
        <v>37</v>
      </c>
      <c r="R140">
        <v>1</v>
      </c>
      <c r="S140" t="s">
        <v>38</v>
      </c>
      <c r="T140" t="s">
        <v>39</v>
      </c>
      <c r="V140" t="s">
        <v>40</v>
      </c>
      <c r="W140" t="s">
        <v>41</v>
      </c>
      <c r="X140" t="s">
        <v>43</v>
      </c>
      <c r="Y140" t="s">
        <v>44</v>
      </c>
      <c r="Z140">
        <v>249986.1</v>
      </c>
      <c r="AA140" t="s">
        <v>81</v>
      </c>
      <c r="AB140" t="s">
        <v>82</v>
      </c>
      <c r="AC140">
        <v>6</v>
      </c>
      <c r="AG140" t="s">
        <v>43</v>
      </c>
      <c r="AH140" t="s">
        <v>44</v>
      </c>
      <c r="AI140" t="s">
        <v>77</v>
      </c>
      <c r="AJ140">
        <v>9.8292469555517105E-3</v>
      </c>
    </row>
    <row r="141" spans="1:36" x14ac:dyDescent="0.3">
      <c r="A141" t="s">
        <v>72</v>
      </c>
      <c r="B141">
        <v>2025</v>
      </c>
      <c r="C141">
        <v>3</v>
      </c>
      <c r="D141" t="s">
        <v>91</v>
      </c>
      <c r="E141" t="s">
        <v>95</v>
      </c>
      <c r="F141" t="s">
        <v>78</v>
      </c>
      <c r="H141" t="s">
        <v>51</v>
      </c>
      <c r="I141" t="s">
        <v>33</v>
      </c>
      <c r="J141" t="s">
        <v>32</v>
      </c>
      <c r="L141">
        <v>2024</v>
      </c>
      <c r="M141" t="s">
        <v>34</v>
      </c>
      <c r="N141" t="s">
        <v>35</v>
      </c>
      <c r="O141">
        <v>127160</v>
      </c>
      <c r="P141" t="s">
        <v>53</v>
      </c>
      <c r="Q141" t="s">
        <v>37</v>
      </c>
      <c r="R141">
        <v>1</v>
      </c>
      <c r="S141" t="s">
        <v>38</v>
      </c>
      <c r="T141" t="s">
        <v>39</v>
      </c>
      <c r="V141" t="s">
        <v>40</v>
      </c>
      <c r="W141" t="s">
        <v>41</v>
      </c>
      <c r="X141" t="s">
        <v>43</v>
      </c>
      <c r="Y141" t="s">
        <v>44</v>
      </c>
      <c r="Z141">
        <v>249986.1</v>
      </c>
      <c r="AA141" t="s">
        <v>81</v>
      </c>
      <c r="AB141" t="s">
        <v>82</v>
      </c>
      <c r="AC141">
        <v>7</v>
      </c>
      <c r="AG141" t="s">
        <v>43</v>
      </c>
      <c r="AH141" t="s">
        <v>44</v>
      </c>
      <c r="AI141" t="s">
        <v>77</v>
      </c>
      <c r="AJ141">
        <v>9.9092977904625713E-3</v>
      </c>
    </row>
    <row r="142" spans="1:36" x14ac:dyDescent="0.3">
      <c r="A142" t="s">
        <v>72</v>
      </c>
      <c r="B142">
        <v>2025</v>
      </c>
      <c r="C142">
        <v>3</v>
      </c>
      <c r="D142" t="s">
        <v>91</v>
      </c>
      <c r="E142" t="s">
        <v>95</v>
      </c>
      <c r="F142" t="s">
        <v>78</v>
      </c>
      <c r="H142" t="s">
        <v>51</v>
      </c>
      <c r="I142" t="s">
        <v>33</v>
      </c>
      <c r="J142" t="s">
        <v>32</v>
      </c>
      <c r="L142">
        <v>2024</v>
      </c>
      <c r="M142" t="s">
        <v>34</v>
      </c>
      <c r="N142" t="s">
        <v>35</v>
      </c>
      <c r="O142">
        <v>127160</v>
      </c>
      <c r="P142" t="s">
        <v>53</v>
      </c>
      <c r="Q142" t="s">
        <v>37</v>
      </c>
      <c r="R142">
        <v>2</v>
      </c>
      <c r="S142" t="s">
        <v>38</v>
      </c>
      <c r="T142" t="s">
        <v>52</v>
      </c>
      <c r="V142" t="s">
        <v>40</v>
      </c>
      <c r="W142" t="s">
        <v>41</v>
      </c>
      <c r="X142" t="s">
        <v>43</v>
      </c>
      <c r="Y142" t="s">
        <v>44</v>
      </c>
      <c r="Z142">
        <v>4302.5</v>
      </c>
      <c r="AA142" t="s">
        <v>81</v>
      </c>
      <c r="AB142" t="s">
        <v>82</v>
      </c>
      <c r="AC142">
        <v>1</v>
      </c>
      <c r="AG142" t="s">
        <v>73</v>
      </c>
      <c r="AH142" t="s">
        <v>74</v>
      </c>
      <c r="AI142" t="s">
        <v>75</v>
      </c>
      <c r="AJ142">
        <v>13.527861507282216</v>
      </c>
    </row>
    <row r="143" spans="1:36" x14ac:dyDescent="0.3">
      <c r="A143" t="s">
        <v>72</v>
      </c>
      <c r="B143">
        <v>2025</v>
      </c>
      <c r="C143">
        <v>3</v>
      </c>
      <c r="D143" t="s">
        <v>91</v>
      </c>
      <c r="E143" t="s">
        <v>95</v>
      </c>
      <c r="F143" t="s">
        <v>78</v>
      </c>
      <c r="H143" t="s">
        <v>51</v>
      </c>
      <c r="I143" t="s">
        <v>33</v>
      </c>
      <c r="J143" t="s">
        <v>32</v>
      </c>
      <c r="L143">
        <v>2024</v>
      </c>
      <c r="M143" t="s">
        <v>34</v>
      </c>
      <c r="N143" t="s">
        <v>35</v>
      </c>
      <c r="O143">
        <v>127160</v>
      </c>
      <c r="P143" t="s">
        <v>53</v>
      </c>
      <c r="Q143" t="s">
        <v>37</v>
      </c>
      <c r="R143">
        <v>2</v>
      </c>
      <c r="S143" t="s">
        <v>38</v>
      </c>
      <c r="T143" t="s">
        <v>52</v>
      </c>
      <c r="V143" t="s">
        <v>40</v>
      </c>
      <c r="W143" t="s">
        <v>41</v>
      </c>
      <c r="X143" t="s">
        <v>43</v>
      </c>
      <c r="Y143" t="s">
        <v>44</v>
      </c>
      <c r="Z143">
        <v>4302.5</v>
      </c>
      <c r="AA143" t="s">
        <v>81</v>
      </c>
      <c r="AB143" t="s">
        <v>82</v>
      </c>
      <c r="AC143">
        <v>2</v>
      </c>
      <c r="AG143" t="s">
        <v>73</v>
      </c>
      <c r="AH143" t="s">
        <v>74</v>
      </c>
      <c r="AI143" t="s">
        <v>75</v>
      </c>
      <c r="AJ143">
        <v>19.768803453050719</v>
      </c>
    </row>
    <row r="144" spans="1:36" x14ac:dyDescent="0.3">
      <c r="A144" t="s">
        <v>72</v>
      </c>
      <c r="B144">
        <v>2025</v>
      </c>
      <c r="C144">
        <v>3</v>
      </c>
      <c r="D144" t="s">
        <v>91</v>
      </c>
      <c r="E144" t="s">
        <v>95</v>
      </c>
      <c r="F144" t="s">
        <v>78</v>
      </c>
      <c r="H144" t="s">
        <v>51</v>
      </c>
      <c r="I144" t="s">
        <v>33</v>
      </c>
      <c r="J144" t="s">
        <v>32</v>
      </c>
      <c r="L144">
        <v>2024</v>
      </c>
      <c r="M144" t="s">
        <v>34</v>
      </c>
      <c r="N144" t="s">
        <v>35</v>
      </c>
      <c r="O144">
        <v>127160</v>
      </c>
      <c r="P144" t="s">
        <v>53</v>
      </c>
      <c r="Q144" t="s">
        <v>37</v>
      </c>
      <c r="R144">
        <v>2</v>
      </c>
      <c r="S144" t="s">
        <v>38</v>
      </c>
      <c r="T144" t="s">
        <v>52</v>
      </c>
      <c r="V144" t="s">
        <v>40</v>
      </c>
      <c r="W144" t="s">
        <v>41</v>
      </c>
      <c r="X144" t="s">
        <v>43</v>
      </c>
      <c r="Y144" t="s">
        <v>44</v>
      </c>
      <c r="Z144">
        <v>4302.5</v>
      </c>
      <c r="AA144" t="s">
        <v>81</v>
      </c>
      <c r="AB144" t="s">
        <v>82</v>
      </c>
      <c r="AC144">
        <v>3</v>
      </c>
      <c r="AG144" t="s">
        <v>73</v>
      </c>
      <c r="AH144" t="s">
        <v>74</v>
      </c>
      <c r="AI144" t="s">
        <v>75</v>
      </c>
      <c r="AJ144">
        <v>6.3360920862682519</v>
      </c>
    </row>
    <row r="145" spans="1:36" x14ac:dyDescent="0.3">
      <c r="A145" t="s">
        <v>72</v>
      </c>
      <c r="B145">
        <v>2025</v>
      </c>
      <c r="C145">
        <v>3</v>
      </c>
      <c r="D145" t="s">
        <v>91</v>
      </c>
      <c r="E145" t="s">
        <v>95</v>
      </c>
      <c r="F145" t="s">
        <v>78</v>
      </c>
      <c r="H145" t="s">
        <v>51</v>
      </c>
      <c r="I145" t="s">
        <v>33</v>
      </c>
      <c r="J145" t="s">
        <v>32</v>
      </c>
      <c r="L145">
        <v>2024</v>
      </c>
      <c r="M145" t="s">
        <v>34</v>
      </c>
      <c r="N145" t="s">
        <v>35</v>
      </c>
      <c r="O145">
        <v>127160</v>
      </c>
      <c r="P145" t="s">
        <v>53</v>
      </c>
      <c r="Q145" t="s">
        <v>37</v>
      </c>
      <c r="R145">
        <v>2</v>
      </c>
      <c r="S145" t="s">
        <v>38</v>
      </c>
      <c r="T145" t="s">
        <v>52</v>
      </c>
      <c r="V145" t="s">
        <v>40</v>
      </c>
      <c r="W145" t="s">
        <v>41</v>
      </c>
      <c r="X145" t="s">
        <v>43</v>
      </c>
      <c r="Y145" t="s">
        <v>44</v>
      </c>
      <c r="Z145">
        <v>4302.5</v>
      </c>
      <c r="AA145" t="s">
        <v>81</v>
      </c>
      <c r="AB145" t="s">
        <v>82</v>
      </c>
      <c r="AC145">
        <v>4</v>
      </c>
      <c r="AG145" t="s">
        <v>73</v>
      </c>
      <c r="AH145" t="s">
        <v>74</v>
      </c>
      <c r="AI145" t="s">
        <v>75</v>
      </c>
      <c r="AJ145">
        <v>73.496057779720132</v>
      </c>
    </row>
    <row r="146" spans="1:36" x14ac:dyDescent="0.3">
      <c r="A146" t="s">
        <v>72</v>
      </c>
      <c r="B146">
        <v>2025</v>
      </c>
      <c r="C146">
        <v>3</v>
      </c>
      <c r="D146" t="s">
        <v>91</v>
      </c>
      <c r="E146" t="s">
        <v>95</v>
      </c>
      <c r="F146" t="s">
        <v>78</v>
      </c>
      <c r="H146" t="s">
        <v>51</v>
      </c>
      <c r="I146" t="s">
        <v>33</v>
      </c>
      <c r="J146" t="s">
        <v>32</v>
      </c>
      <c r="L146">
        <v>2024</v>
      </c>
      <c r="M146" t="s">
        <v>34</v>
      </c>
      <c r="N146" t="s">
        <v>35</v>
      </c>
      <c r="O146">
        <v>127160</v>
      </c>
      <c r="P146" t="s">
        <v>53</v>
      </c>
      <c r="Q146" t="s">
        <v>37</v>
      </c>
      <c r="R146">
        <v>2</v>
      </c>
      <c r="S146" t="s">
        <v>38</v>
      </c>
      <c r="T146" t="s">
        <v>52</v>
      </c>
      <c r="V146" t="s">
        <v>40</v>
      </c>
      <c r="W146" t="s">
        <v>41</v>
      </c>
      <c r="X146" t="s">
        <v>43</v>
      </c>
      <c r="Y146" t="s">
        <v>44</v>
      </c>
      <c r="Z146">
        <v>4302.5</v>
      </c>
      <c r="AA146" t="s">
        <v>81</v>
      </c>
      <c r="AB146" t="s">
        <v>82</v>
      </c>
      <c r="AC146">
        <v>5</v>
      </c>
      <c r="AG146" t="s">
        <v>73</v>
      </c>
      <c r="AH146" t="s">
        <v>74</v>
      </c>
      <c r="AI146" t="s">
        <v>75</v>
      </c>
      <c r="AJ146">
        <v>108.8355578707956</v>
      </c>
    </row>
    <row r="147" spans="1:36" x14ac:dyDescent="0.3">
      <c r="A147" t="s">
        <v>72</v>
      </c>
      <c r="B147">
        <v>2025</v>
      </c>
      <c r="C147">
        <v>3</v>
      </c>
      <c r="D147" t="s">
        <v>91</v>
      </c>
      <c r="E147" t="s">
        <v>95</v>
      </c>
      <c r="F147" t="s">
        <v>78</v>
      </c>
      <c r="H147" t="s">
        <v>51</v>
      </c>
      <c r="I147" t="s">
        <v>33</v>
      </c>
      <c r="J147" t="s">
        <v>32</v>
      </c>
      <c r="L147">
        <v>2024</v>
      </c>
      <c r="M147" t="s">
        <v>34</v>
      </c>
      <c r="N147" t="s">
        <v>35</v>
      </c>
      <c r="O147">
        <v>127160</v>
      </c>
      <c r="P147" t="s">
        <v>53</v>
      </c>
      <c r="Q147" t="s">
        <v>37</v>
      </c>
      <c r="R147">
        <v>2</v>
      </c>
      <c r="S147" t="s">
        <v>38</v>
      </c>
      <c r="T147" t="s">
        <v>52</v>
      </c>
      <c r="V147" t="s">
        <v>40</v>
      </c>
      <c r="W147" t="s">
        <v>41</v>
      </c>
      <c r="X147" t="s">
        <v>43</v>
      </c>
      <c r="Y147" t="s">
        <v>44</v>
      </c>
      <c r="Z147">
        <v>4302.5</v>
      </c>
      <c r="AA147" t="s">
        <v>81</v>
      </c>
      <c r="AB147" t="s">
        <v>82</v>
      </c>
      <c r="AC147">
        <v>6</v>
      </c>
      <c r="AG147" t="s">
        <v>73</v>
      </c>
      <c r="AH147" t="s">
        <v>74</v>
      </c>
      <c r="AI147" t="s">
        <v>75</v>
      </c>
      <c r="AJ147">
        <v>107.92432838038866</v>
      </c>
    </row>
    <row r="148" spans="1:36" x14ac:dyDescent="0.3">
      <c r="A148" t="s">
        <v>72</v>
      </c>
      <c r="B148">
        <v>2025</v>
      </c>
      <c r="C148">
        <v>3</v>
      </c>
      <c r="D148" t="s">
        <v>91</v>
      </c>
      <c r="E148" t="s">
        <v>95</v>
      </c>
      <c r="F148" t="s">
        <v>78</v>
      </c>
      <c r="H148" t="s">
        <v>51</v>
      </c>
      <c r="I148" t="s">
        <v>33</v>
      </c>
      <c r="J148" t="s">
        <v>32</v>
      </c>
      <c r="L148">
        <v>2024</v>
      </c>
      <c r="M148" t="s">
        <v>34</v>
      </c>
      <c r="N148" t="s">
        <v>35</v>
      </c>
      <c r="O148">
        <v>127160</v>
      </c>
      <c r="P148" t="s">
        <v>53</v>
      </c>
      <c r="Q148" t="s">
        <v>37</v>
      </c>
      <c r="R148">
        <v>2</v>
      </c>
      <c r="S148" t="s">
        <v>38</v>
      </c>
      <c r="T148" t="s">
        <v>52</v>
      </c>
      <c r="V148" t="s">
        <v>40</v>
      </c>
      <c r="W148" t="s">
        <v>41</v>
      </c>
      <c r="X148" t="s">
        <v>43</v>
      </c>
      <c r="Y148" t="s">
        <v>44</v>
      </c>
      <c r="Z148">
        <v>4302.5</v>
      </c>
      <c r="AA148" t="s">
        <v>81</v>
      </c>
      <c r="AB148" t="s">
        <v>82</v>
      </c>
      <c r="AC148">
        <v>7</v>
      </c>
      <c r="AG148" t="s">
        <v>73</v>
      </c>
      <c r="AH148" t="s">
        <v>74</v>
      </c>
      <c r="AI148" t="s">
        <v>75</v>
      </c>
      <c r="AJ148">
        <v>155.91301254484884</v>
      </c>
    </row>
    <row r="149" spans="1:36" x14ac:dyDescent="0.3">
      <c r="A149" t="s">
        <v>72</v>
      </c>
      <c r="B149">
        <v>2025</v>
      </c>
      <c r="C149">
        <v>3</v>
      </c>
      <c r="D149" t="s">
        <v>91</v>
      </c>
      <c r="E149" t="s">
        <v>95</v>
      </c>
      <c r="F149" t="s">
        <v>78</v>
      </c>
      <c r="H149" t="s">
        <v>51</v>
      </c>
      <c r="I149" t="s">
        <v>33</v>
      </c>
      <c r="J149" t="s">
        <v>32</v>
      </c>
      <c r="L149">
        <v>2024</v>
      </c>
      <c r="M149" t="s">
        <v>34</v>
      </c>
      <c r="N149" t="s">
        <v>35</v>
      </c>
      <c r="O149">
        <v>127160</v>
      </c>
      <c r="P149" t="s">
        <v>53</v>
      </c>
      <c r="Q149" t="s">
        <v>37</v>
      </c>
      <c r="R149">
        <v>2</v>
      </c>
      <c r="S149" t="s">
        <v>38</v>
      </c>
      <c r="T149" t="s">
        <v>52</v>
      </c>
      <c r="V149" t="s">
        <v>40</v>
      </c>
      <c r="W149" t="s">
        <v>41</v>
      </c>
      <c r="X149" t="s">
        <v>43</v>
      </c>
      <c r="Y149" t="s">
        <v>44</v>
      </c>
      <c r="Z149">
        <v>4302.5</v>
      </c>
      <c r="AA149" t="s">
        <v>81</v>
      </c>
      <c r="AB149" t="s">
        <v>82</v>
      </c>
      <c r="AC149">
        <v>1</v>
      </c>
      <c r="AG149" t="s">
        <v>43</v>
      </c>
      <c r="AH149" t="s">
        <v>44</v>
      </c>
      <c r="AI149" t="s">
        <v>77</v>
      </c>
      <c r="AJ149">
        <v>5.4675291723273898E-3</v>
      </c>
    </row>
    <row r="150" spans="1:36" x14ac:dyDescent="0.3">
      <c r="A150" t="s">
        <v>72</v>
      </c>
      <c r="B150">
        <v>2025</v>
      </c>
      <c r="C150">
        <v>3</v>
      </c>
      <c r="D150" t="s">
        <v>91</v>
      </c>
      <c r="E150" t="s">
        <v>95</v>
      </c>
      <c r="F150" t="s">
        <v>78</v>
      </c>
      <c r="H150" t="s">
        <v>51</v>
      </c>
      <c r="I150" t="s">
        <v>33</v>
      </c>
      <c r="J150" t="s">
        <v>32</v>
      </c>
      <c r="L150">
        <v>2024</v>
      </c>
      <c r="M150" t="s">
        <v>34</v>
      </c>
      <c r="N150" t="s">
        <v>35</v>
      </c>
      <c r="O150">
        <v>127160</v>
      </c>
      <c r="P150" t="s">
        <v>53</v>
      </c>
      <c r="Q150" t="s">
        <v>37</v>
      </c>
      <c r="R150">
        <v>2</v>
      </c>
      <c r="S150" t="s">
        <v>38</v>
      </c>
      <c r="T150" t="s">
        <v>52</v>
      </c>
      <c r="V150" t="s">
        <v>40</v>
      </c>
      <c r="W150" t="s">
        <v>41</v>
      </c>
      <c r="X150" t="s">
        <v>43</v>
      </c>
      <c r="Y150" t="s">
        <v>44</v>
      </c>
      <c r="Z150">
        <v>4302.5</v>
      </c>
      <c r="AA150" t="s">
        <v>81</v>
      </c>
      <c r="AB150" t="s">
        <v>82</v>
      </c>
      <c r="AC150">
        <v>2</v>
      </c>
      <c r="AG150" t="s">
        <v>43</v>
      </c>
      <c r="AH150" t="s">
        <v>44</v>
      </c>
      <c r="AI150" t="s">
        <v>77</v>
      </c>
      <c r="AJ150">
        <v>6.1144567118772992E-3</v>
      </c>
    </row>
    <row r="151" spans="1:36" x14ac:dyDescent="0.3">
      <c r="A151" t="s">
        <v>72</v>
      </c>
      <c r="B151">
        <v>2025</v>
      </c>
      <c r="C151">
        <v>3</v>
      </c>
      <c r="D151" t="s">
        <v>91</v>
      </c>
      <c r="E151" t="s">
        <v>95</v>
      </c>
      <c r="F151" t="s">
        <v>78</v>
      </c>
      <c r="H151" t="s">
        <v>51</v>
      </c>
      <c r="I151" t="s">
        <v>33</v>
      </c>
      <c r="J151" t="s">
        <v>32</v>
      </c>
      <c r="L151">
        <v>2024</v>
      </c>
      <c r="M151" t="s">
        <v>34</v>
      </c>
      <c r="N151" t="s">
        <v>35</v>
      </c>
      <c r="O151">
        <v>127160</v>
      </c>
      <c r="P151" t="s">
        <v>53</v>
      </c>
      <c r="Q151" t="s">
        <v>37</v>
      </c>
      <c r="R151">
        <v>2</v>
      </c>
      <c r="S151" t="s">
        <v>38</v>
      </c>
      <c r="T151" t="s">
        <v>52</v>
      </c>
      <c r="V151" t="s">
        <v>40</v>
      </c>
      <c r="W151" t="s">
        <v>41</v>
      </c>
      <c r="X151" t="s">
        <v>43</v>
      </c>
      <c r="Y151" t="s">
        <v>44</v>
      </c>
      <c r="Z151">
        <v>4302.5</v>
      </c>
      <c r="AA151" t="s">
        <v>81</v>
      </c>
      <c r="AB151" t="s">
        <v>82</v>
      </c>
      <c r="AC151">
        <v>3</v>
      </c>
      <c r="AG151" t="s">
        <v>43</v>
      </c>
      <c r="AH151" t="s">
        <v>44</v>
      </c>
      <c r="AI151" t="s">
        <v>77</v>
      </c>
      <c r="AJ151">
        <v>6.9160162542765101E-3</v>
      </c>
    </row>
    <row r="152" spans="1:36" x14ac:dyDescent="0.3">
      <c r="A152" t="s">
        <v>72</v>
      </c>
      <c r="B152">
        <v>2025</v>
      </c>
      <c r="C152">
        <v>3</v>
      </c>
      <c r="D152" t="s">
        <v>91</v>
      </c>
      <c r="E152" t="s">
        <v>95</v>
      </c>
      <c r="F152" t="s">
        <v>78</v>
      </c>
      <c r="H152" t="s">
        <v>51</v>
      </c>
      <c r="I152" t="s">
        <v>33</v>
      </c>
      <c r="J152" t="s">
        <v>32</v>
      </c>
      <c r="L152">
        <v>2024</v>
      </c>
      <c r="M152" t="s">
        <v>34</v>
      </c>
      <c r="N152" t="s">
        <v>35</v>
      </c>
      <c r="O152">
        <v>127160</v>
      </c>
      <c r="P152" t="s">
        <v>53</v>
      </c>
      <c r="Q152" t="s">
        <v>37</v>
      </c>
      <c r="R152">
        <v>2</v>
      </c>
      <c r="S152" t="s">
        <v>38</v>
      </c>
      <c r="T152" t="s">
        <v>52</v>
      </c>
      <c r="V152" t="s">
        <v>40</v>
      </c>
      <c r="W152" t="s">
        <v>41</v>
      </c>
      <c r="X152" t="s">
        <v>43</v>
      </c>
      <c r="Y152" t="s">
        <v>44</v>
      </c>
      <c r="Z152">
        <v>4302.5</v>
      </c>
      <c r="AA152" t="s">
        <v>81</v>
      </c>
      <c r="AB152" t="s">
        <v>82</v>
      </c>
      <c r="AC152">
        <v>4</v>
      </c>
      <c r="AG152" t="s">
        <v>43</v>
      </c>
      <c r="AH152" t="s">
        <v>44</v>
      </c>
      <c r="AI152" t="s">
        <v>77</v>
      </c>
      <c r="AJ152">
        <v>7.4743746738224134E-3</v>
      </c>
    </row>
    <row r="153" spans="1:36" x14ac:dyDescent="0.3">
      <c r="A153" t="s">
        <v>72</v>
      </c>
      <c r="B153">
        <v>2025</v>
      </c>
      <c r="C153">
        <v>3</v>
      </c>
      <c r="D153" t="s">
        <v>91</v>
      </c>
      <c r="E153" t="s">
        <v>95</v>
      </c>
      <c r="F153" t="s">
        <v>78</v>
      </c>
      <c r="H153" t="s">
        <v>51</v>
      </c>
      <c r="I153" t="s">
        <v>33</v>
      </c>
      <c r="J153" t="s">
        <v>32</v>
      </c>
      <c r="L153">
        <v>2024</v>
      </c>
      <c r="M153" t="s">
        <v>34</v>
      </c>
      <c r="N153" t="s">
        <v>35</v>
      </c>
      <c r="O153">
        <v>127160</v>
      </c>
      <c r="P153" t="s">
        <v>53</v>
      </c>
      <c r="Q153" t="s">
        <v>37</v>
      </c>
      <c r="R153">
        <v>2</v>
      </c>
      <c r="S153" t="s">
        <v>38</v>
      </c>
      <c r="T153" t="s">
        <v>52</v>
      </c>
      <c r="V153" t="s">
        <v>40</v>
      </c>
      <c r="W153" t="s">
        <v>41</v>
      </c>
      <c r="X153" t="s">
        <v>43</v>
      </c>
      <c r="Y153" t="s">
        <v>44</v>
      </c>
      <c r="Z153">
        <v>4302.5</v>
      </c>
      <c r="AA153" t="s">
        <v>81</v>
      </c>
      <c r="AB153" t="s">
        <v>82</v>
      </c>
      <c r="AC153">
        <v>5</v>
      </c>
      <c r="AG153" t="s">
        <v>43</v>
      </c>
      <c r="AH153" t="s">
        <v>44</v>
      </c>
      <c r="AI153" t="s">
        <v>77</v>
      </c>
      <c r="AJ153">
        <v>8.3492896233372631E-3</v>
      </c>
    </row>
    <row r="154" spans="1:36" x14ac:dyDescent="0.3">
      <c r="A154" t="s">
        <v>72</v>
      </c>
      <c r="B154">
        <v>2025</v>
      </c>
      <c r="C154">
        <v>3</v>
      </c>
      <c r="D154" t="s">
        <v>91</v>
      </c>
      <c r="E154" t="s">
        <v>95</v>
      </c>
      <c r="F154" t="s">
        <v>78</v>
      </c>
      <c r="H154" t="s">
        <v>51</v>
      </c>
      <c r="I154" t="s">
        <v>33</v>
      </c>
      <c r="J154" t="s">
        <v>32</v>
      </c>
      <c r="L154">
        <v>2024</v>
      </c>
      <c r="M154" t="s">
        <v>34</v>
      </c>
      <c r="N154" t="s">
        <v>35</v>
      </c>
      <c r="O154">
        <v>127160</v>
      </c>
      <c r="P154" t="s">
        <v>53</v>
      </c>
      <c r="Q154" t="s">
        <v>37</v>
      </c>
      <c r="R154">
        <v>2</v>
      </c>
      <c r="S154" t="s">
        <v>38</v>
      </c>
      <c r="T154" t="s">
        <v>52</v>
      </c>
      <c r="V154" t="s">
        <v>40</v>
      </c>
      <c r="W154" t="s">
        <v>41</v>
      </c>
      <c r="X154" t="s">
        <v>43</v>
      </c>
      <c r="Y154" t="s">
        <v>44</v>
      </c>
      <c r="Z154">
        <v>4302.5</v>
      </c>
      <c r="AA154" t="s">
        <v>81</v>
      </c>
      <c r="AB154" t="s">
        <v>82</v>
      </c>
      <c r="AC154">
        <v>6</v>
      </c>
      <c r="AG154" t="s">
        <v>43</v>
      </c>
      <c r="AH154" t="s">
        <v>44</v>
      </c>
      <c r="AI154" t="s">
        <v>77</v>
      </c>
      <c r="AJ154">
        <v>9.8292469555517105E-3</v>
      </c>
    </row>
    <row r="155" spans="1:36" x14ac:dyDescent="0.3">
      <c r="A155" t="s">
        <v>72</v>
      </c>
      <c r="B155">
        <v>2025</v>
      </c>
      <c r="C155">
        <v>3</v>
      </c>
      <c r="D155" t="s">
        <v>91</v>
      </c>
      <c r="E155" t="s">
        <v>95</v>
      </c>
      <c r="F155" t="s">
        <v>78</v>
      </c>
      <c r="H155" t="s">
        <v>51</v>
      </c>
      <c r="I155" t="s">
        <v>33</v>
      </c>
      <c r="J155" t="s">
        <v>32</v>
      </c>
      <c r="L155">
        <v>2024</v>
      </c>
      <c r="M155" t="s">
        <v>34</v>
      </c>
      <c r="N155" t="s">
        <v>35</v>
      </c>
      <c r="O155">
        <v>127160</v>
      </c>
      <c r="P155" t="s">
        <v>53</v>
      </c>
      <c r="Q155" t="s">
        <v>37</v>
      </c>
      <c r="R155">
        <v>2</v>
      </c>
      <c r="S155" t="s">
        <v>38</v>
      </c>
      <c r="T155" t="s">
        <v>52</v>
      </c>
      <c r="V155" t="s">
        <v>40</v>
      </c>
      <c r="W155" t="s">
        <v>41</v>
      </c>
      <c r="X155" t="s">
        <v>43</v>
      </c>
      <c r="Y155" t="s">
        <v>44</v>
      </c>
      <c r="Z155">
        <v>4302.5</v>
      </c>
      <c r="AA155" t="s">
        <v>81</v>
      </c>
      <c r="AB155" t="s">
        <v>82</v>
      </c>
      <c r="AC155">
        <v>7</v>
      </c>
      <c r="AG155" t="s">
        <v>43</v>
      </c>
      <c r="AH155" t="s">
        <v>44</v>
      </c>
      <c r="AI155" t="s">
        <v>77</v>
      </c>
      <c r="AJ155">
        <v>9.9092977904625713E-3</v>
      </c>
    </row>
    <row r="156" spans="1:36" x14ac:dyDescent="0.3">
      <c r="A156" t="s">
        <v>72</v>
      </c>
      <c r="B156">
        <v>2025</v>
      </c>
      <c r="C156">
        <v>3</v>
      </c>
      <c r="D156" t="s">
        <v>91</v>
      </c>
      <c r="E156" t="s">
        <v>95</v>
      </c>
      <c r="F156" t="s">
        <v>78</v>
      </c>
      <c r="H156" t="s">
        <v>51</v>
      </c>
      <c r="I156" t="s">
        <v>33</v>
      </c>
      <c r="J156" t="s">
        <v>32</v>
      </c>
      <c r="L156">
        <v>2024</v>
      </c>
      <c r="M156" t="s">
        <v>34</v>
      </c>
      <c r="N156" t="s">
        <v>35</v>
      </c>
      <c r="O156">
        <v>127160</v>
      </c>
      <c r="P156" t="s">
        <v>53</v>
      </c>
      <c r="Q156" t="s">
        <v>37</v>
      </c>
      <c r="R156">
        <v>2</v>
      </c>
      <c r="S156" t="s">
        <v>38</v>
      </c>
      <c r="T156" t="s">
        <v>39</v>
      </c>
      <c r="V156" t="s">
        <v>40</v>
      </c>
      <c r="W156" t="s">
        <v>41</v>
      </c>
      <c r="X156" t="s">
        <v>43</v>
      </c>
      <c r="Y156" t="s">
        <v>44</v>
      </c>
      <c r="Z156">
        <v>37849.599999999999</v>
      </c>
      <c r="AA156" t="s">
        <v>81</v>
      </c>
      <c r="AB156" t="s">
        <v>82</v>
      </c>
      <c r="AC156">
        <v>1</v>
      </c>
      <c r="AG156" t="s">
        <v>73</v>
      </c>
      <c r="AH156" t="s">
        <v>74</v>
      </c>
      <c r="AI156" t="s">
        <v>75</v>
      </c>
      <c r="AJ156">
        <v>119.00619335410319</v>
      </c>
    </row>
    <row r="157" spans="1:36" x14ac:dyDescent="0.3">
      <c r="A157" t="s">
        <v>72</v>
      </c>
      <c r="B157">
        <v>2025</v>
      </c>
      <c r="C157">
        <v>3</v>
      </c>
      <c r="D157" t="s">
        <v>91</v>
      </c>
      <c r="E157" t="s">
        <v>95</v>
      </c>
      <c r="F157" t="s">
        <v>78</v>
      </c>
      <c r="H157" t="s">
        <v>51</v>
      </c>
      <c r="I157" t="s">
        <v>33</v>
      </c>
      <c r="J157" t="s">
        <v>32</v>
      </c>
      <c r="L157">
        <v>2024</v>
      </c>
      <c r="M157" t="s">
        <v>34</v>
      </c>
      <c r="N157" t="s">
        <v>35</v>
      </c>
      <c r="O157">
        <v>127160</v>
      </c>
      <c r="P157" t="s">
        <v>53</v>
      </c>
      <c r="Q157" t="s">
        <v>37</v>
      </c>
      <c r="R157">
        <v>2</v>
      </c>
      <c r="S157" t="s">
        <v>38</v>
      </c>
      <c r="T157" t="s">
        <v>39</v>
      </c>
      <c r="V157" t="s">
        <v>40</v>
      </c>
      <c r="W157" t="s">
        <v>41</v>
      </c>
      <c r="X157" t="s">
        <v>43</v>
      </c>
      <c r="Y157" t="s">
        <v>44</v>
      </c>
      <c r="Z157">
        <v>37849.599999999999</v>
      </c>
      <c r="AA157" t="s">
        <v>81</v>
      </c>
      <c r="AB157" t="s">
        <v>82</v>
      </c>
      <c r="AC157">
        <v>2</v>
      </c>
      <c r="AG157" t="s">
        <v>73</v>
      </c>
      <c r="AH157" t="s">
        <v>74</v>
      </c>
      <c r="AI157" t="s">
        <v>75</v>
      </c>
      <c r="AJ157">
        <v>173.90849579932328</v>
      </c>
    </row>
    <row r="158" spans="1:36" x14ac:dyDescent="0.3">
      <c r="A158" t="s">
        <v>72</v>
      </c>
      <c r="B158">
        <v>2025</v>
      </c>
      <c r="C158">
        <v>3</v>
      </c>
      <c r="D158" t="s">
        <v>91</v>
      </c>
      <c r="E158" t="s">
        <v>95</v>
      </c>
      <c r="F158" t="s">
        <v>78</v>
      </c>
      <c r="H158" t="s">
        <v>51</v>
      </c>
      <c r="I158" t="s">
        <v>33</v>
      </c>
      <c r="J158" t="s">
        <v>32</v>
      </c>
      <c r="L158">
        <v>2024</v>
      </c>
      <c r="M158" t="s">
        <v>34</v>
      </c>
      <c r="N158" t="s">
        <v>35</v>
      </c>
      <c r="O158">
        <v>127160</v>
      </c>
      <c r="P158" t="s">
        <v>53</v>
      </c>
      <c r="Q158" t="s">
        <v>37</v>
      </c>
      <c r="R158">
        <v>2</v>
      </c>
      <c r="S158" t="s">
        <v>38</v>
      </c>
      <c r="T158" t="s">
        <v>39</v>
      </c>
      <c r="V158" t="s">
        <v>40</v>
      </c>
      <c r="W158" t="s">
        <v>41</v>
      </c>
      <c r="X158" t="s">
        <v>43</v>
      </c>
      <c r="Y158" t="s">
        <v>44</v>
      </c>
      <c r="Z158">
        <v>37849.599999999999</v>
      </c>
      <c r="AA158" t="s">
        <v>81</v>
      </c>
      <c r="AB158" t="s">
        <v>82</v>
      </c>
      <c r="AC158">
        <v>3</v>
      </c>
      <c r="AG158" t="s">
        <v>73</v>
      </c>
      <c r="AH158" t="s">
        <v>74</v>
      </c>
      <c r="AI158" t="s">
        <v>75</v>
      </c>
      <c r="AJ158">
        <v>55.739349454600536</v>
      </c>
    </row>
    <row r="159" spans="1:36" x14ac:dyDescent="0.3">
      <c r="A159" t="s">
        <v>72</v>
      </c>
      <c r="B159">
        <v>2025</v>
      </c>
      <c r="C159">
        <v>3</v>
      </c>
      <c r="D159" t="s">
        <v>91</v>
      </c>
      <c r="E159" t="s">
        <v>95</v>
      </c>
      <c r="F159" t="s">
        <v>78</v>
      </c>
      <c r="H159" t="s">
        <v>51</v>
      </c>
      <c r="I159" t="s">
        <v>33</v>
      </c>
      <c r="J159" t="s">
        <v>32</v>
      </c>
      <c r="L159">
        <v>2024</v>
      </c>
      <c r="M159" t="s">
        <v>34</v>
      </c>
      <c r="N159" t="s">
        <v>35</v>
      </c>
      <c r="O159">
        <v>127160</v>
      </c>
      <c r="P159" t="s">
        <v>53</v>
      </c>
      <c r="Q159" t="s">
        <v>37</v>
      </c>
      <c r="R159">
        <v>2</v>
      </c>
      <c r="S159" t="s">
        <v>38</v>
      </c>
      <c r="T159" t="s">
        <v>39</v>
      </c>
      <c r="V159" t="s">
        <v>40</v>
      </c>
      <c r="W159" t="s">
        <v>41</v>
      </c>
      <c r="X159" t="s">
        <v>43</v>
      </c>
      <c r="Y159" t="s">
        <v>44</v>
      </c>
      <c r="Z159">
        <v>37849.599999999999</v>
      </c>
      <c r="AA159" t="s">
        <v>81</v>
      </c>
      <c r="AB159" t="s">
        <v>82</v>
      </c>
      <c r="AC159">
        <v>4</v>
      </c>
      <c r="AG159" t="s">
        <v>73</v>
      </c>
      <c r="AH159" t="s">
        <v>74</v>
      </c>
      <c r="AI159" t="s">
        <v>75</v>
      </c>
      <c r="AJ159">
        <v>646.55348949199185</v>
      </c>
    </row>
    <row r="160" spans="1:36" x14ac:dyDescent="0.3">
      <c r="A160" t="s">
        <v>72</v>
      </c>
      <c r="B160">
        <v>2025</v>
      </c>
      <c r="C160">
        <v>3</v>
      </c>
      <c r="D160" t="s">
        <v>91</v>
      </c>
      <c r="E160" t="s">
        <v>95</v>
      </c>
      <c r="F160" t="s">
        <v>78</v>
      </c>
      <c r="H160" t="s">
        <v>51</v>
      </c>
      <c r="I160" t="s">
        <v>33</v>
      </c>
      <c r="J160" t="s">
        <v>32</v>
      </c>
      <c r="L160">
        <v>2024</v>
      </c>
      <c r="M160" t="s">
        <v>34</v>
      </c>
      <c r="N160" t="s">
        <v>35</v>
      </c>
      <c r="O160">
        <v>127160</v>
      </c>
      <c r="P160" t="s">
        <v>53</v>
      </c>
      <c r="Q160" t="s">
        <v>37</v>
      </c>
      <c r="R160">
        <v>2</v>
      </c>
      <c r="S160" t="s">
        <v>38</v>
      </c>
      <c r="T160" t="s">
        <v>39</v>
      </c>
      <c r="V160" t="s">
        <v>40</v>
      </c>
      <c r="W160" t="s">
        <v>41</v>
      </c>
      <c r="X160" t="s">
        <v>43</v>
      </c>
      <c r="Y160" t="s">
        <v>44</v>
      </c>
      <c r="Z160">
        <v>37849.599999999999</v>
      </c>
      <c r="AA160" t="s">
        <v>81</v>
      </c>
      <c r="AB160" t="s">
        <v>82</v>
      </c>
      <c r="AC160">
        <v>5</v>
      </c>
      <c r="AG160" t="s">
        <v>73</v>
      </c>
      <c r="AH160" t="s">
        <v>74</v>
      </c>
      <c r="AI160" t="s">
        <v>75</v>
      </c>
      <c r="AJ160">
        <v>957.43924025251943</v>
      </c>
    </row>
    <row r="161" spans="1:36" x14ac:dyDescent="0.3">
      <c r="A161" t="s">
        <v>72</v>
      </c>
      <c r="B161">
        <v>2025</v>
      </c>
      <c r="C161">
        <v>3</v>
      </c>
      <c r="D161" t="s">
        <v>91</v>
      </c>
      <c r="E161" t="s">
        <v>95</v>
      </c>
      <c r="F161" t="s">
        <v>78</v>
      </c>
      <c r="H161" t="s">
        <v>51</v>
      </c>
      <c r="I161" t="s">
        <v>33</v>
      </c>
      <c r="J161" t="s">
        <v>32</v>
      </c>
      <c r="L161">
        <v>2024</v>
      </c>
      <c r="M161" t="s">
        <v>34</v>
      </c>
      <c r="N161" t="s">
        <v>35</v>
      </c>
      <c r="O161">
        <v>127160</v>
      </c>
      <c r="P161" t="s">
        <v>53</v>
      </c>
      <c r="Q161" t="s">
        <v>37</v>
      </c>
      <c r="R161">
        <v>2</v>
      </c>
      <c r="S161" t="s">
        <v>38</v>
      </c>
      <c r="T161" t="s">
        <v>39</v>
      </c>
      <c r="V161" t="s">
        <v>40</v>
      </c>
      <c r="W161" t="s">
        <v>41</v>
      </c>
      <c r="X161" t="s">
        <v>43</v>
      </c>
      <c r="Y161" t="s">
        <v>44</v>
      </c>
      <c r="Z161">
        <v>37849.599999999999</v>
      </c>
      <c r="AA161" t="s">
        <v>81</v>
      </c>
      <c r="AB161" t="s">
        <v>82</v>
      </c>
      <c r="AC161">
        <v>6</v>
      </c>
      <c r="AG161" t="s">
        <v>73</v>
      </c>
      <c r="AH161" t="s">
        <v>74</v>
      </c>
      <c r="AI161" t="s">
        <v>75</v>
      </c>
      <c r="AJ161">
        <v>949.42304694162897</v>
      </c>
    </row>
    <row r="162" spans="1:36" x14ac:dyDescent="0.3">
      <c r="A162" t="s">
        <v>72</v>
      </c>
      <c r="B162">
        <v>2025</v>
      </c>
      <c r="C162">
        <v>3</v>
      </c>
      <c r="D162" t="s">
        <v>91</v>
      </c>
      <c r="E162" t="s">
        <v>95</v>
      </c>
      <c r="F162" t="s">
        <v>78</v>
      </c>
      <c r="H162" t="s">
        <v>51</v>
      </c>
      <c r="I162" t="s">
        <v>33</v>
      </c>
      <c r="J162" t="s">
        <v>32</v>
      </c>
      <c r="L162">
        <v>2024</v>
      </c>
      <c r="M162" t="s">
        <v>34</v>
      </c>
      <c r="N162" t="s">
        <v>35</v>
      </c>
      <c r="O162">
        <v>127160</v>
      </c>
      <c r="P162" t="s">
        <v>53</v>
      </c>
      <c r="Q162" t="s">
        <v>37</v>
      </c>
      <c r="R162">
        <v>2</v>
      </c>
      <c r="S162" t="s">
        <v>38</v>
      </c>
      <c r="T162" t="s">
        <v>39</v>
      </c>
      <c r="V162" t="s">
        <v>40</v>
      </c>
      <c r="W162" t="s">
        <v>41</v>
      </c>
      <c r="X162" t="s">
        <v>43</v>
      </c>
      <c r="Y162" t="s">
        <v>44</v>
      </c>
      <c r="Z162">
        <v>37849.599999999999</v>
      </c>
      <c r="AA162" t="s">
        <v>81</v>
      </c>
      <c r="AB162" t="s">
        <v>82</v>
      </c>
      <c r="AC162">
        <v>7</v>
      </c>
      <c r="AG162" t="s">
        <v>73</v>
      </c>
      <c r="AH162" t="s">
        <v>74</v>
      </c>
      <c r="AI162" t="s">
        <v>75</v>
      </c>
      <c r="AJ162">
        <v>1371.5851620261499</v>
      </c>
    </row>
    <row r="163" spans="1:36" x14ac:dyDescent="0.3">
      <c r="A163" t="s">
        <v>72</v>
      </c>
      <c r="B163">
        <v>2025</v>
      </c>
      <c r="C163">
        <v>3</v>
      </c>
      <c r="D163" t="s">
        <v>91</v>
      </c>
      <c r="E163" t="s">
        <v>95</v>
      </c>
      <c r="F163" t="s">
        <v>78</v>
      </c>
      <c r="H163" t="s">
        <v>51</v>
      </c>
      <c r="I163" t="s">
        <v>33</v>
      </c>
      <c r="J163" t="s">
        <v>32</v>
      </c>
      <c r="L163">
        <v>2024</v>
      </c>
      <c r="M163" t="s">
        <v>34</v>
      </c>
      <c r="N163" t="s">
        <v>35</v>
      </c>
      <c r="O163">
        <v>127160</v>
      </c>
      <c r="P163" t="s">
        <v>53</v>
      </c>
      <c r="Q163" t="s">
        <v>37</v>
      </c>
      <c r="R163">
        <v>2</v>
      </c>
      <c r="S163" t="s">
        <v>38</v>
      </c>
      <c r="T163" t="s">
        <v>39</v>
      </c>
      <c r="V163" t="s">
        <v>40</v>
      </c>
      <c r="W163" t="s">
        <v>41</v>
      </c>
      <c r="X163" t="s">
        <v>43</v>
      </c>
      <c r="Y163" t="s">
        <v>44</v>
      </c>
      <c r="Z163">
        <v>37849.599999999999</v>
      </c>
      <c r="AA163" t="s">
        <v>81</v>
      </c>
      <c r="AB163" t="s">
        <v>82</v>
      </c>
      <c r="AC163">
        <v>1</v>
      </c>
      <c r="AG163" t="s">
        <v>43</v>
      </c>
      <c r="AH163" t="s">
        <v>44</v>
      </c>
      <c r="AI163" t="s">
        <v>77</v>
      </c>
      <c r="AJ163">
        <v>5.4675291723273898E-3</v>
      </c>
    </row>
    <row r="164" spans="1:36" x14ac:dyDescent="0.3">
      <c r="A164" t="s">
        <v>72</v>
      </c>
      <c r="B164">
        <v>2025</v>
      </c>
      <c r="C164">
        <v>3</v>
      </c>
      <c r="D164" t="s">
        <v>91</v>
      </c>
      <c r="E164" t="s">
        <v>95</v>
      </c>
      <c r="F164" t="s">
        <v>78</v>
      </c>
      <c r="H164" t="s">
        <v>51</v>
      </c>
      <c r="I164" t="s">
        <v>33</v>
      </c>
      <c r="J164" t="s">
        <v>32</v>
      </c>
      <c r="L164">
        <v>2024</v>
      </c>
      <c r="M164" t="s">
        <v>34</v>
      </c>
      <c r="N164" t="s">
        <v>35</v>
      </c>
      <c r="O164">
        <v>127160</v>
      </c>
      <c r="P164" t="s">
        <v>53</v>
      </c>
      <c r="Q164" t="s">
        <v>37</v>
      </c>
      <c r="R164">
        <v>2</v>
      </c>
      <c r="S164" t="s">
        <v>38</v>
      </c>
      <c r="T164" t="s">
        <v>39</v>
      </c>
      <c r="V164" t="s">
        <v>40</v>
      </c>
      <c r="W164" t="s">
        <v>41</v>
      </c>
      <c r="X164" t="s">
        <v>43</v>
      </c>
      <c r="Y164" t="s">
        <v>44</v>
      </c>
      <c r="Z164">
        <v>37849.599999999999</v>
      </c>
      <c r="AA164" t="s">
        <v>81</v>
      </c>
      <c r="AB164" t="s">
        <v>82</v>
      </c>
      <c r="AC164">
        <v>2</v>
      </c>
      <c r="AG164" t="s">
        <v>43</v>
      </c>
      <c r="AH164" t="s">
        <v>44</v>
      </c>
      <c r="AI164" t="s">
        <v>77</v>
      </c>
      <c r="AJ164">
        <v>6.1144567118772992E-3</v>
      </c>
    </row>
    <row r="165" spans="1:36" x14ac:dyDescent="0.3">
      <c r="A165" t="s">
        <v>72</v>
      </c>
      <c r="B165">
        <v>2025</v>
      </c>
      <c r="C165">
        <v>3</v>
      </c>
      <c r="D165" t="s">
        <v>91</v>
      </c>
      <c r="E165" t="s">
        <v>95</v>
      </c>
      <c r="F165" t="s">
        <v>78</v>
      </c>
      <c r="H165" t="s">
        <v>51</v>
      </c>
      <c r="I165" t="s">
        <v>33</v>
      </c>
      <c r="J165" t="s">
        <v>32</v>
      </c>
      <c r="L165">
        <v>2024</v>
      </c>
      <c r="M165" t="s">
        <v>34</v>
      </c>
      <c r="N165" t="s">
        <v>35</v>
      </c>
      <c r="O165">
        <v>127160</v>
      </c>
      <c r="P165" t="s">
        <v>53</v>
      </c>
      <c r="Q165" t="s">
        <v>37</v>
      </c>
      <c r="R165">
        <v>2</v>
      </c>
      <c r="S165" t="s">
        <v>38</v>
      </c>
      <c r="T165" t="s">
        <v>39</v>
      </c>
      <c r="V165" t="s">
        <v>40</v>
      </c>
      <c r="W165" t="s">
        <v>41</v>
      </c>
      <c r="X165" t="s">
        <v>43</v>
      </c>
      <c r="Y165" t="s">
        <v>44</v>
      </c>
      <c r="Z165">
        <v>37849.599999999999</v>
      </c>
      <c r="AA165" t="s">
        <v>81</v>
      </c>
      <c r="AB165" t="s">
        <v>82</v>
      </c>
      <c r="AC165">
        <v>3</v>
      </c>
      <c r="AG165" t="s">
        <v>43</v>
      </c>
      <c r="AH165" t="s">
        <v>44</v>
      </c>
      <c r="AI165" t="s">
        <v>77</v>
      </c>
      <c r="AJ165">
        <v>6.9160162542765101E-3</v>
      </c>
    </row>
    <row r="166" spans="1:36" x14ac:dyDescent="0.3">
      <c r="A166" t="s">
        <v>72</v>
      </c>
      <c r="B166">
        <v>2025</v>
      </c>
      <c r="C166">
        <v>3</v>
      </c>
      <c r="D166" t="s">
        <v>91</v>
      </c>
      <c r="E166" t="s">
        <v>95</v>
      </c>
      <c r="F166" t="s">
        <v>78</v>
      </c>
      <c r="H166" t="s">
        <v>51</v>
      </c>
      <c r="I166" t="s">
        <v>33</v>
      </c>
      <c r="J166" t="s">
        <v>32</v>
      </c>
      <c r="L166">
        <v>2024</v>
      </c>
      <c r="M166" t="s">
        <v>34</v>
      </c>
      <c r="N166" t="s">
        <v>35</v>
      </c>
      <c r="O166">
        <v>127160</v>
      </c>
      <c r="P166" t="s">
        <v>53</v>
      </c>
      <c r="Q166" t="s">
        <v>37</v>
      </c>
      <c r="R166">
        <v>2</v>
      </c>
      <c r="S166" t="s">
        <v>38</v>
      </c>
      <c r="T166" t="s">
        <v>39</v>
      </c>
      <c r="V166" t="s">
        <v>40</v>
      </c>
      <c r="W166" t="s">
        <v>41</v>
      </c>
      <c r="X166" t="s">
        <v>43</v>
      </c>
      <c r="Y166" t="s">
        <v>44</v>
      </c>
      <c r="Z166">
        <v>37849.599999999999</v>
      </c>
      <c r="AA166" t="s">
        <v>81</v>
      </c>
      <c r="AB166" t="s">
        <v>82</v>
      </c>
      <c r="AC166">
        <v>4</v>
      </c>
      <c r="AG166" t="s">
        <v>43</v>
      </c>
      <c r="AH166" t="s">
        <v>44</v>
      </c>
      <c r="AI166" t="s">
        <v>77</v>
      </c>
      <c r="AJ166">
        <v>7.4743746738224134E-3</v>
      </c>
    </row>
    <row r="167" spans="1:36" x14ac:dyDescent="0.3">
      <c r="A167" t="s">
        <v>72</v>
      </c>
      <c r="B167">
        <v>2025</v>
      </c>
      <c r="C167">
        <v>3</v>
      </c>
      <c r="D167" t="s">
        <v>91</v>
      </c>
      <c r="E167" t="s">
        <v>95</v>
      </c>
      <c r="F167" t="s">
        <v>78</v>
      </c>
      <c r="H167" t="s">
        <v>51</v>
      </c>
      <c r="I167" t="s">
        <v>33</v>
      </c>
      <c r="J167" t="s">
        <v>32</v>
      </c>
      <c r="L167">
        <v>2024</v>
      </c>
      <c r="M167" t="s">
        <v>34</v>
      </c>
      <c r="N167" t="s">
        <v>35</v>
      </c>
      <c r="O167">
        <v>127160</v>
      </c>
      <c r="P167" t="s">
        <v>53</v>
      </c>
      <c r="Q167" t="s">
        <v>37</v>
      </c>
      <c r="R167">
        <v>2</v>
      </c>
      <c r="S167" t="s">
        <v>38</v>
      </c>
      <c r="T167" t="s">
        <v>39</v>
      </c>
      <c r="V167" t="s">
        <v>40</v>
      </c>
      <c r="W167" t="s">
        <v>41</v>
      </c>
      <c r="X167" t="s">
        <v>43</v>
      </c>
      <c r="Y167" t="s">
        <v>44</v>
      </c>
      <c r="Z167">
        <v>37849.599999999999</v>
      </c>
      <c r="AA167" t="s">
        <v>81</v>
      </c>
      <c r="AB167" t="s">
        <v>82</v>
      </c>
      <c r="AC167">
        <v>5</v>
      </c>
      <c r="AG167" t="s">
        <v>43</v>
      </c>
      <c r="AH167" t="s">
        <v>44</v>
      </c>
      <c r="AI167" t="s">
        <v>77</v>
      </c>
      <c r="AJ167">
        <v>8.3492896233372631E-3</v>
      </c>
    </row>
    <row r="168" spans="1:36" x14ac:dyDescent="0.3">
      <c r="A168" t="s">
        <v>72</v>
      </c>
      <c r="B168">
        <v>2025</v>
      </c>
      <c r="C168">
        <v>3</v>
      </c>
      <c r="D168" t="s">
        <v>91</v>
      </c>
      <c r="E168" t="s">
        <v>95</v>
      </c>
      <c r="F168" t="s">
        <v>78</v>
      </c>
      <c r="H168" t="s">
        <v>51</v>
      </c>
      <c r="I168" t="s">
        <v>33</v>
      </c>
      <c r="J168" t="s">
        <v>32</v>
      </c>
      <c r="L168">
        <v>2024</v>
      </c>
      <c r="M168" t="s">
        <v>34</v>
      </c>
      <c r="N168" t="s">
        <v>35</v>
      </c>
      <c r="O168">
        <v>127160</v>
      </c>
      <c r="P168" t="s">
        <v>53</v>
      </c>
      <c r="Q168" t="s">
        <v>37</v>
      </c>
      <c r="R168">
        <v>2</v>
      </c>
      <c r="S168" t="s">
        <v>38</v>
      </c>
      <c r="T168" t="s">
        <v>39</v>
      </c>
      <c r="V168" t="s">
        <v>40</v>
      </c>
      <c r="W168" t="s">
        <v>41</v>
      </c>
      <c r="X168" t="s">
        <v>43</v>
      </c>
      <c r="Y168" t="s">
        <v>44</v>
      </c>
      <c r="Z168">
        <v>37849.599999999999</v>
      </c>
      <c r="AA168" t="s">
        <v>81</v>
      </c>
      <c r="AB168" t="s">
        <v>82</v>
      </c>
      <c r="AC168">
        <v>6</v>
      </c>
      <c r="AG168" t="s">
        <v>43</v>
      </c>
      <c r="AH168" t="s">
        <v>44</v>
      </c>
      <c r="AI168" t="s">
        <v>77</v>
      </c>
      <c r="AJ168">
        <v>9.8292469555517105E-3</v>
      </c>
    </row>
    <row r="169" spans="1:36" x14ac:dyDescent="0.3">
      <c r="A169" t="s">
        <v>72</v>
      </c>
      <c r="B169">
        <v>2025</v>
      </c>
      <c r="C169">
        <v>3</v>
      </c>
      <c r="D169" t="s">
        <v>91</v>
      </c>
      <c r="E169" t="s">
        <v>95</v>
      </c>
      <c r="F169" t="s">
        <v>78</v>
      </c>
      <c r="H169" t="s">
        <v>51</v>
      </c>
      <c r="I169" t="s">
        <v>33</v>
      </c>
      <c r="J169" t="s">
        <v>32</v>
      </c>
      <c r="L169">
        <v>2024</v>
      </c>
      <c r="M169" t="s">
        <v>34</v>
      </c>
      <c r="N169" t="s">
        <v>35</v>
      </c>
      <c r="O169">
        <v>127160</v>
      </c>
      <c r="P169" t="s">
        <v>53</v>
      </c>
      <c r="Q169" t="s">
        <v>37</v>
      </c>
      <c r="R169">
        <v>2</v>
      </c>
      <c r="S169" t="s">
        <v>38</v>
      </c>
      <c r="T169" t="s">
        <v>39</v>
      </c>
      <c r="V169" t="s">
        <v>40</v>
      </c>
      <c r="W169" t="s">
        <v>41</v>
      </c>
      <c r="X169" t="s">
        <v>43</v>
      </c>
      <c r="Y169" t="s">
        <v>44</v>
      </c>
      <c r="Z169">
        <v>37849.599999999999</v>
      </c>
      <c r="AA169" t="s">
        <v>81</v>
      </c>
      <c r="AB169" t="s">
        <v>82</v>
      </c>
      <c r="AC169">
        <v>7</v>
      </c>
      <c r="AG169" t="s">
        <v>43</v>
      </c>
      <c r="AH169" t="s">
        <v>44</v>
      </c>
      <c r="AI169" t="s">
        <v>77</v>
      </c>
      <c r="AJ169">
        <v>9.9092977904625713E-3</v>
      </c>
    </row>
    <row r="170" spans="1:36" x14ac:dyDescent="0.3">
      <c r="A170" t="s">
        <v>72</v>
      </c>
      <c r="B170">
        <v>2025</v>
      </c>
      <c r="C170">
        <v>3</v>
      </c>
      <c r="D170" t="s">
        <v>91</v>
      </c>
      <c r="E170" t="s">
        <v>95</v>
      </c>
      <c r="F170" t="s">
        <v>79</v>
      </c>
      <c r="H170" t="s">
        <v>51</v>
      </c>
      <c r="I170" t="s">
        <v>84</v>
      </c>
      <c r="J170" t="s">
        <v>32</v>
      </c>
      <c r="L170">
        <v>2024</v>
      </c>
      <c r="M170" t="s">
        <v>34</v>
      </c>
      <c r="N170" t="s">
        <v>35</v>
      </c>
      <c r="O170">
        <v>127160</v>
      </c>
      <c r="P170" t="s">
        <v>53</v>
      </c>
      <c r="Q170" t="s">
        <v>37</v>
      </c>
      <c r="R170">
        <v>1</v>
      </c>
      <c r="S170" t="s">
        <v>38</v>
      </c>
      <c r="T170" t="s">
        <v>52</v>
      </c>
      <c r="V170" t="s">
        <v>40</v>
      </c>
      <c r="W170" t="s">
        <v>41</v>
      </c>
      <c r="X170" t="s">
        <v>43</v>
      </c>
      <c r="Y170" t="s">
        <v>44</v>
      </c>
      <c r="Z170">
        <v>5236</v>
      </c>
      <c r="AA170" t="s">
        <v>81</v>
      </c>
      <c r="AB170" t="s">
        <v>82</v>
      </c>
      <c r="AC170">
        <v>1</v>
      </c>
      <c r="AG170" t="s">
        <v>73</v>
      </c>
      <c r="AH170" t="s">
        <v>74</v>
      </c>
      <c r="AI170" t="s">
        <v>75</v>
      </c>
      <c r="AJ170">
        <v>0.81120006249362275</v>
      </c>
    </row>
    <row r="171" spans="1:36" x14ac:dyDescent="0.3">
      <c r="A171" t="s">
        <v>72</v>
      </c>
      <c r="B171">
        <v>2025</v>
      </c>
      <c r="C171">
        <v>3</v>
      </c>
      <c r="D171" t="s">
        <v>91</v>
      </c>
      <c r="E171" t="s">
        <v>95</v>
      </c>
      <c r="F171" t="s">
        <v>79</v>
      </c>
      <c r="H171" t="s">
        <v>51</v>
      </c>
      <c r="I171" t="s">
        <v>84</v>
      </c>
      <c r="J171" t="s">
        <v>32</v>
      </c>
      <c r="L171">
        <v>2024</v>
      </c>
      <c r="M171" t="s">
        <v>34</v>
      </c>
      <c r="N171" t="s">
        <v>35</v>
      </c>
      <c r="O171">
        <v>127160</v>
      </c>
      <c r="P171" t="s">
        <v>53</v>
      </c>
      <c r="Q171" t="s">
        <v>37</v>
      </c>
      <c r="R171">
        <v>1</v>
      </c>
      <c r="S171" t="s">
        <v>38</v>
      </c>
      <c r="T171" t="s">
        <v>52</v>
      </c>
      <c r="V171" t="s">
        <v>40</v>
      </c>
      <c r="W171" t="s">
        <v>41</v>
      </c>
      <c r="X171" t="s">
        <v>43</v>
      </c>
      <c r="Y171" t="s">
        <v>44</v>
      </c>
      <c r="Z171">
        <v>5236</v>
      </c>
      <c r="AA171" t="s">
        <v>81</v>
      </c>
      <c r="AB171" t="s">
        <v>82</v>
      </c>
      <c r="AC171">
        <v>2</v>
      </c>
      <c r="AG171" t="s">
        <v>73</v>
      </c>
      <c r="AH171" t="s">
        <v>74</v>
      </c>
      <c r="AI171" t="s">
        <v>75</v>
      </c>
      <c r="AJ171">
        <v>1.1854389984630065</v>
      </c>
    </row>
    <row r="172" spans="1:36" x14ac:dyDescent="0.3">
      <c r="A172" t="s">
        <v>72</v>
      </c>
      <c r="B172">
        <v>2025</v>
      </c>
      <c r="C172">
        <v>3</v>
      </c>
      <c r="D172" t="s">
        <v>91</v>
      </c>
      <c r="E172" t="s">
        <v>95</v>
      </c>
      <c r="F172" t="s">
        <v>79</v>
      </c>
      <c r="H172" t="s">
        <v>51</v>
      </c>
      <c r="I172" t="s">
        <v>84</v>
      </c>
      <c r="J172" t="s">
        <v>32</v>
      </c>
      <c r="L172">
        <v>2024</v>
      </c>
      <c r="M172" t="s">
        <v>34</v>
      </c>
      <c r="N172" t="s">
        <v>35</v>
      </c>
      <c r="O172">
        <v>127160</v>
      </c>
      <c r="P172" t="s">
        <v>53</v>
      </c>
      <c r="Q172" t="s">
        <v>37</v>
      </c>
      <c r="R172">
        <v>1</v>
      </c>
      <c r="S172" t="s">
        <v>38</v>
      </c>
      <c r="T172" t="s">
        <v>52</v>
      </c>
      <c r="V172" t="s">
        <v>40</v>
      </c>
      <c r="W172" t="s">
        <v>41</v>
      </c>
      <c r="X172" t="s">
        <v>43</v>
      </c>
      <c r="Y172" t="s">
        <v>44</v>
      </c>
      <c r="Z172">
        <v>5236</v>
      </c>
      <c r="AA172" t="s">
        <v>81</v>
      </c>
      <c r="AB172" t="s">
        <v>82</v>
      </c>
      <c r="AC172">
        <v>3</v>
      </c>
      <c r="AG172" t="s">
        <v>73</v>
      </c>
      <c r="AH172" t="s">
        <v>74</v>
      </c>
      <c r="AI172" t="s">
        <v>75</v>
      </c>
      <c r="AJ172">
        <v>0.37994462713706195</v>
      </c>
    </row>
    <row r="173" spans="1:36" x14ac:dyDescent="0.3">
      <c r="A173" t="s">
        <v>72</v>
      </c>
      <c r="B173">
        <v>2025</v>
      </c>
      <c r="C173">
        <v>3</v>
      </c>
      <c r="D173" t="s">
        <v>91</v>
      </c>
      <c r="E173" t="s">
        <v>95</v>
      </c>
      <c r="F173" t="s">
        <v>79</v>
      </c>
      <c r="H173" t="s">
        <v>51</v>
      </c>
      <c r="I173" t="s">
        <v>84</v>
      </c>
      <c r="J173" t="s">
        <v>32</v>
      </c>
      <c r="L173">
        <v>2024</v>
      </c>
      <c r="M173" t="s">
        <v>34</v>
      </c>
      <c r="N173" t="s">
        <v>35</v>
      </c>
      <c r="O173">
        <v>127160</v>
      </c>
      <c r="P173" t="s">
        <v>53</v>
      </c>
      <c r="Q173" t="s">
        <v>37</v>
      </c>
      <c r="R173">
        <v>1</v>
      </c>
      <c r="S173" t="s">
        <v>38</v>
      </c>
      <c r="T173" t="s">
        <v>52</v>
      </c>
      <c r="V173" t="s">
        <v>40</v>
      </c>
      <c r="W173" t="s">
        <v>41</v>
      </c>
      <c r="X173" t="s">
        <v>43</v>
      </c>
      <c r="Y173" t="s">
        <v>44</v>
      </c>
      <c r="Z173">
        <v>5236</v>
      </c>
      <c r="AA173" t="s">
        <v>81</v>
      </c>
      <c r="AB173" t="s">
        <v>82</v>
      </c>
      <c r="AC173">
        <v>4</v>
      </c>
      <c r="AG173" t="s">
        <v>73</v>
      </c>
      <c r="AH173" t="s">
        <v>74</v>
      </c>
      <c r="AI173" t="s">
        <v>75</v>
      </c>
      <c r="AJ173">
        <v>4.4072011405387084</v>
      </c>
    </row>
    <row r="174" spans="1:36" x14ac:dyDescent="0.3">
      <c r="A174" t="s">
        <v>72</v>
      </c>
      <c r="B174">
        <v>2025</v>
      </c>
      <c r="C174">
        <v>3</v>
      </c>
      <c r="D174" t="s">
        <v>91</v>
      </c>
      <c r="E174" t="s">
        <v>95</v>
      </c>
      <c r="F174" t="s">
        <v>79</v>
      </c>
      <c r="H174" t="s">
        <v>51</v>
      </c>
      <c r="I174" t="s">
        <v>84</v>
      </c>
      <c r="J174" t="s">
        <v>32</v>
      </c>
      <c r="L174">
        <v>2024</v>
      </c>
      <c r="M174" t="s">
        <v>34</v>
      </c>
      <c r="N174" t="s">
        <v>35</v>
      </c>
      <c r="O174">
        <v>127160</v>
      </c>
      <c r="P174" t="s">
        <v>53</v>
      </c>
      <c r="Q174" t="s">
        <v>37</v>
      </c>
      <c r="R174">
        <v>1</v>
      </c>
      <c r="S174" t="s">
        <v>38</v>
      </c>
      <c r="T174" t="s">
        <v>52</v>
      </c>
      <c r="V174" t="s">
        <v>40</v>
      </c>
      <c r="W174" t="s">
        <v>41</v>
      </c>
      <c r="X174" t="s">
        <v>43</v>
      </c>
      <c r="Y174" t="s">
        <v>44</v>
      </c>
      <c r="Z174">
        <v>5236</v>
      </c>
      <c r="AA174" t="s">
        <v>81</v>
      </c>
      <c r="AB174" t="s">
        <v>82</v>
      </c>
      <c r="AC174">
        <v>5</v>
      </c>
      <c r="AG174" t="s">
        <v>73</v>
      </c>
      <c r="AH174" t="s">
        <v>74</v>
      </c>
      <c r="AI174" t="s">
        <v>75</v>
      </c>
      <c r="AJ174">
        <v>6.5263390890564237</v>
      </c>
    </row>
    <row r="175" spans="1:36" x14ac:dyDescent="0.3">
      <c r="A175" t="s">
        <v>72</v>
      </c>
      <c r="B175">
        <v>2025</v>
      </c>
      <c r="C175">
        <v>3</v>
      </c>
      <c r="D175" t="s">
        <v>91</v>
      </c>
      <c r="E175" t="s">
        <v>95</v>
      </c>
      <c r="F175" t="s">
        <v>79</v>
      </c>
      <c r="H175" t="s">
        <v>51</v>
      </c>
      <c r="I175" t="s">
        <v>84</v>
      </c>
      <c r="J175" t="s">
        <v>32</v>
      </c>
      <c r="L175">
        <v>2024</v>
      </c>
      <c r="M175" t="s">
        <v>34</v>
      </c>
      <c r="N175" t="s">
        <v>35</v>
      </c>
      <c r="O175">
        <v>127160</v>
      </c>
      <c r="P175" t="s">
        <v>53</v>
      </c>
      <c r="Q175" t="s">
        <v>37</v>
      </c>
      <c r="R175">
        <v>1</v>
      </c>
      <c r="S175" t="s">
        <v>38</v>
      </c>
      <c r="T175" t="s">
        <v>52</v>
      </c>
      <c r="V175" t="s">
        <v>40</v>
      </c>
      <c r="W175" t="s">
        <v>41</v>
      </c>
      <c r="X175" t="s">
        <v>43</v>
      </c>
      <c r="Y175" t="s">
        <v>44</v>
      </c>
      <c r="Z175">
        <v>5236</v>
      </c>
      <c r="AA175" t="s">
        <v>81</v>
      </c>
      <c r="AB175" t="s">
        <v>82</v>
      </c>
      <c r="AC175">
        <v>6</v>
      </c>
      <c r="AG175" t="s">
        <v>73</v>
      </c>
      <c r="AH175" t="s">
        <v>74</v>
      </c>
      <c r="AI175" t="s">
        <v>75</v>
      </c>
      <c r="AJ175">
        <v>6.4716970882371356</v>
      </c>
    </row>
    <row r="176" spans="1:36" x14ac:dyDescent="0.3">
      <c r="A176" t="s">
        <v>72</v>
      </c>
      <c r="B176">
        <v>2025</v>
      </c>
      <c r="C176">
        <v>3</v>
      </c>
      <c r="D176" t="s">
        <v>91</v>
      </c>
      <c r="E176" t="s">
        <v>95</v>
      </c>
      <c r="F176" t="s">
        <v>79</v>
      </c>
      <c r="H176" t="s">
        <v>51</v>
      </c>
      <c r="I176" t="s">
        <v>84</v>
      </c>
      <c r="J176" t="s">
        <v>32</v>
      </c>
      <c r="L176">
        <v>2024</v>
      </c>
      <c r="M176" t="s">
        <v>34</v>
      </c>
      <c r="N176" t="s">
        <v>35</v>
      </c>
      <c r="O176">
        <v>127160</v>
      </c>
      <c r="P176" t="s">
        <v>53</v>
      </c>
      <c r="Q176" t="s">
        <v>37</v>
      </c>
      <c r="R176">
        <v>1</v>
      </c>
      <c r="S176" t="s">
        <v>38</v>
      </c>
      <c r="T176" t="s">
        <v>52</v>
      </c>
      <c r="V176" t="s">
        <v>40</v>
      </c>
      <c r="W176" t="s">
        <v>41</v>
      </c>
      <c r="X176" t="s">
        <v>43</v>
      </c>
      <c r="Y176" t="s">
        <v>44</v>
      </c>
      <c r="Z176">
        <v>5236</v>
      </c>
      <c r="AA176" t="s">
        <v>81</v>
      </c>
      <c r="AB176" t="s">
        <v>82</v>
      </c>
      <c r="AC176">
        <v>7</v>
      </c>
      <c r="AG176" t="s">
        <v>73</v>
      </c>
      <c r="AH176" t="s">
        <v>74</v>
      </c>
      <c r="AI176" t="s">
        <v>75</v>
      </c>
      <c r="AJ176">
        <v>9.3493450869427086</v>
      </c>
    </row>
    <row r="177" spans="1:36" x14ac:dyDescent="0.3">
      <c r="A177" t="s">
        <v>72</v>
      </c>
      <c r="B177">
        <v>2025</v>
      </c>
      <c r="C177">
        <v>3</v>
      </c>
      <c r="D177" t="s">
        <v>91</v>
      </c>
      <c r="E177" t="s">
        <v>95</v>
      </c>
      <c r="F177" t="s">
        <v>79</v>
      </c>
      <c r="H177" t="s">
        <v>51</v>
      </c>
      <c r="I177" t="s">
        <v>84</v>
      </c>
      <c r="J177" t="s">
        <v>32</v>
      </c>
      <c r="L177">
        <v>2024</v>
      </c>
      <c r="M177" t="s">
        <v>34</v>
      </c>
      <c r="N177" t="s">
        <v>35</v>
      </c>
      <c r="O177">
        <v>127160</v>
      </c>
      <c r="P177" t="s">
        <v>53</v>
      </c>
      <c r="Q177" t="s">
        <v>37</v>
      </c>
      <c r="R177">
        <v>1</v>
      </c>
      <c r="S177" t="s">
        <v>38</v>
      </c>
      <c r="T177" t="s">
        <v>52</v>
      </c>
      <c r="V177" t="s">
        <v>40</v>
      </c>
      <c r="W177" t="s">
        <v>41</v>
      </c>
      <c r="X177" t="s">
        <v>43</v>
      </c>
      <c r="Y177" t="s">
        <v>44</v>
      </c>
      <c r="Z177">
        <v>5236</v>
      </c>
      <c r="AA177" t="s">
        <v>81</v>
      </c>
      <c r="AB177" t="s">
        <v>82</v>
      </c>
      <c r="AC177">
        <v>1</v>
      </c>
      <c r="AG177" t="s">
        <v>43</v>
      </c>
      <c r="AH177" t="s">
        <v>44</v>
      </c>
      <c r="AI177" t="s">
        <v>77</v>
      </c>
      <c r="AJ177">
        <v>5.4675291723273898E-3</v>
      </c>
    </row>
    <row r="178" spans="1:36" x14ac:dyDescent="0.3">
      <c r="A178" t="s">
        <v>72</v>
      </c>
      <c r="B178">
        <v>2025</v>
      </c>
      <c r="C178">
        <v>3</v>
      </c>
      <c r="D178" t="s">
        <v>91</v>
      </c>
      <c r="E178" t="s">
        <v>95</v>
      </c>
      <c r="F178" t="s">
        <v>79</v>
      </c>
      <c r="H178" t="s">
        <v>51</v>
      </c>
      <c r="I178" t="s">
        <v>84</v>
      </c>
      <c r="J178" t="s">
        <v>32</v>
      </c>
      <c r="L178">
        <v>2024</v>
      </c>
      <c r="M178" t="s">
        <v>34</v>
      </c>
      <c r="N178" t="s">
        <v>35</v>
      </c>
      <c r="O178">
        <v>127160</v>
      </c>
      <c r="P178" t="s">
        <v>53</v>
      </c>
      <c r="Q178" t="s">
        <v>37</v>
      </c>
      <c r="R178">
        <v>1</v>
      </c>
      <c r="S178" t="s">
        <v>38</v>
      </c>
      <c r="T178" t="s">
        <v>52</v>
      </c>
      <c r="V178" t="s">
        <v>40</v>
      </c>
      <c r="W178" t="s">
        <v>41</v>
      </c>
      <c r="X178" t="s">
        <v>43</v>
      </c>
      <c r="Y178" t="s">
        <v>44</v>
      </c>
      <c r="Z178">
        <v>5236</v>
      </c>
      <c r="AA178" t="s">
        <v>81</v>
      </c>
      <c r="AB178" t="s">
        <v>82</v>
      </c>
      <c r="AC178">
        <v>2</v>
      </c>
      <c r="AG178" t="s">
        <v>43</v>
      </c>
      <c r="AH178" t="s">
        <v>44</v>
      </c>
      <c r="AI178" t="s">
        <v>77</v>
      </c>
      <c r="AJ178">
        <v>6.1144567118772992E-3</v>
      </c>
    </row>
    <row r="179" spans="1:36" x14ac:dyDescent="0.3">
      <c r="A179" t="s">
        <v>72</v>
      </c>
      <c r="B179">
        <v>2025</v>
      </c>
      <c r="C179">
        <v>3</v>
      </c>
      <c r="D179" t="s">
        <v>91</v>
      </c>
      <c r="E179" t="s">
        <v>95</v>
      </c>
      <c r="F179" t="s">
        <v>79</v>
      </c>
      <c r="H179" t="s">
        <v>51</v>
      </c>
      <c r="I179" t="s">
        <v>84</v>
      </c>
      <c r="J179" t="s">
        <v>32</v>
      </c>
      <c r="L179">
        <v>2024</v>
      </c>
      <c r="M179" t="s">
        <v>34</v>
      </c>
      <c r="N179" t="s">
        <v>35</v>
      </c>
      <c r="O179">
        <v>127160</v>
      </c>
      <c r="P179" t="s">
        <v>53</v>
      </c>
      <c r="Q179" t="s">
        <v>37</v>
      </c>
      <c r="R179">
        <v>1</v>
      </c>
      <c r="S179" t="s">
        <v>38</v>
      </c>
      <c r="T179" t="s">
        <v>52</v>
      </c>
      <c r="V179" t="s">
        <v>40</v>
      </c>
      <c r="W179" t="s">
        <v>41</v>
      </c>
      <c r="X179" t="s">
        <v>43</v>
      </c>
      <c r="Y179" t="s">
        <v>44</v>
      </c>
      <c r="Z179">
        <v>5236</v>
      </c>
      <c r="AA179" t="s">
        <v>81</v>
      </c>
      <c r="AB179" t="s">
        <v>82</v>
      </c>
      <c r="AC179">
        <v>3</v>
      </c>
      <c r="AG179" t="s">
        <v>43</v>
      </c>
      <c r="AH179" t="s">
        <v>44</v>
      </c>
      <c r="AI179" t="s">
        <v>77</v>
      </c>
      <c r="AJ179">
        <v>6.9160162542765101E-3</v>
      </c>
    </row>
    <row r="180" spans="1:36" x14ac:dyDescent="0.3">
      <c r="A180" t="s">
        <v>72</v>
      </c>
      <c r="B180">
        <v>2025</v>
      </c>
      <c r="C180">
        <v>3</v>
      </c>
      <c r="D180" t="s">
        <v>91</v>
      </c>
      <c r="E180" t="s">
        <v>95</v>
      </c>
      <c r="F180" t="s">
        <v>79</v>
      </c>
      <c r="H180" t="s">
        <v>51</v>
      </c>
      <c r="I180" t="s">
        <v>84</v>
      </c>
      <c r="J180" t="s">
        <v>32</v>
      </c>
      <c r="L180">
        <v>2024</v>
      </c>
      <c r="M180" t="s">
        <v>34</v>
      </c>
      <c r="N180" t="s">
        <v>35</v>
      </c>
      <c r="O180">
        <v>127160</v>
      </c>
      <c r="P180" t="s">
        <v>53</v>
      </c>
      <c r="Q180" t="s">
        <v>37</v>
      </c>
      <c r="R180">
        <v>1</v>
      </c>
      <c r="S180" t="s">
        <v>38</v>
      </c>
      <c r="T180" t="s">
        <v>52</v>
      </c>
      <c r="V180" t="s">
        <v>40</v>
      </c>
      <c r="W180" t="s">
        <v>41</v>
      </c>
      <c r="X180" t="s">
        <v>43</v>
      </c>
      <c r="Y180" t="s">
        <v>44</v>
      </c>
      <c r="Z180">
        <v>5236</v>
      </c>
      <c r="AA180" t="s">
        <v>81</v>
      </c>
      <c r="AB180" t="s">
        <v>82</v>
      </c>
      <c r="AC180">
        <v>4</v>
      </c>
      <c r="AG180" t="s">
        <v>43</v>
      </c>
      <c r="AH180" t="s">
        <v>44</v>
      </c>
      <c r="AI180" t="s">
        <v>77</v>
      </c>
      <c r="AJ180">
        <v>7.4743746738224134E-3</v>
      </c>
    </row>
    <row r="181" spans="1:36" x14ac:dyDescent="0.3">
      <c r="A181" t="s">
        <v>72</v>
      </c>
      <c r="B181">
        <v>2025</v>
      </c>
      <c r="C181">
        <v>3</v>
      </c>
      <c r="D181" t="s">
        <v>91</v>
      </c>
      <c r="E181" t="s">
        <v>95</v>
      </c>
      <c r="F181" t="s">
        <v>79</v>
      </c>
      <c r="H181" t="s">
        <v>51</v>
      </c>
      <c r="I181" t="s">
        <v>84</v>
      </c>
      <c r="J181" t="s">
        <v>32</v>
      </c>
      <c r="L181">
        <v>2024</v>
      </c>
      <c r="M181" t="s">
        <v>34</v>
      </c>
      <c r="N181" t="s">
        <v>35</v>
      </c>
      <c r="O181">
        <v>127160</v>
      </c>
      <c r="P181" t="s">
        <v>53</v>
      </c>
      <c r="Q181" t="s">
        <v>37</v>
      </c>
      <c r="R181">
        <v>1</v>
      </c>
      <c r="S181" t="s">
        <v>38</v>
      </c>
      <c r="T181" t="s">
        <v>52</v>
      </c>
      <c r="V181" t="s">
        <v>40</v>
      </c>
      <c r="W181" t="s">
        <v>41</v>
      </c>
      <c r="X181" t="s">
        <v>43</v>
      </c>
      <c r="Y181" t="s">
        <v>44</v>
      </c>
      <c r="Z181">
        <v>5236</v>
      </c>
      <c r="AA181" t="s">
        <v>81</v>
      </c>
      <c r="AB181" t="s">
        <v>82</v>
      </c>
      <c r="AC181">
        <v>5</v>
      </c>
      <c r="AG181" t="s">
        <v>43</v>
      </c>
      <c r="AH181" t="s">
        <v>44</v>
      </c>
      <c r="AI181" t="s">
        <v>77</v>
      </c>
      <c r="AJ181">
        <v>8.3492896233372631E-3</v>
      </c>
    </row>
    <row r="182" spans="1:36" x14ac:dyDescent="0.3">
      <c r="A182" t="s">
        <v>72</v>
      </c>
      <c r="B182">
        <v>2025</v>
      </c>
      <c r="C182">
        <v>3</v>
      </c>
      <c r="D182" t="s">
        <v>91</v>
      </c>
      <c r="E182" t="s">
        <v>95</v>
      </c>
      <c r="F182" t="s">
        <v>79</v>
      </c>
      <c r="H182" t="s">
        <v>51</v>
      </c>
      <c r="I182" t="s">
        <v>84</v>
      </c>
      <c r="J182" t="s">
        <v>32</v>
      </c>
      <c r="L182">
        <v>2024</v>
      </c>
      <c r="M182" t="s">
        <v>34</v>
      </c>
      <c r="N182" t="s">
        <v>35</v>
      </c>
      <c r="O182">
        <v>127160</v>
      </c>
      <c r="P182" t="s">
        <v>53</v>
      </c>
      <c r="Q182" t="s">
        <v>37</v>
      </c>
      <c r="R182">
        <v>1</v>
      </c>
      <c r="S182" t="s">
        <v>38</v>
      </c>
      <c r="T182" t="s">
        <v>52</v>
      </c>
      <c r="V182" t="s">
        <v>40</v>
      </c>
      <c r="W182" t="s">
        <v>41</v>
      </c>
      <c r="X182" t="s">
        <v>43</v>
      </c>
      <c r="Y182" t="s">
        <v>44</v>
      </c>
      <c r="Z182">
        <v>5236</v>
      </c>
      <c r="AA182" t="s">
        <v>81</v>
      </c>
      <c r="AB182" t="s">
        <v>82</v>
      </c>
      <c r="AC182">
        <v>6</v>
      </c>
      <c r="AG182" t="s">
        <v>43</v>
      </c>
      <c r="AH182" t="s">
        <v>44</v>
      </c>
      <c r="AI182" t="s">
        <v>77</v>
      </c>
      <c r="AJ182">
        <v>9.8292469555517105E-3</v>
      </c>
    </row>
    <row r="183" spans="1:36" x14ac:dyDescent="0.3">
      <c r="A183" t="s">
        <v>72</v>
      </c>
      <c r="B183">
        <v>2025</v>
      </c>
      <c r="C183">
        <v>3</v>
      </c>
      <c r="D183" t="s">
        <v>91</v>
      </c>
      <c r="E183" t="s">
        <v>95</v>
      </c>
      <c r="F183" t="s">
        <v>79</v>
      </c>
      <c r="H183" t="s">
        <v>51</v>
      </c>
      <c r="I183" t="s">
        <v>84</v>
      </c>
      <c r="J183" t="s">
        <v>32</v>
      </c>
      <c r="L183">
        <v>2024</v>
      </c>
      <c r="M183" t="s">
        <v>34</v>
      </c>
      <c r="N183" t="s">
        <v>35</v>
      </c>
      <c r="O183">
        <v>127160</v>
      </c>
      <c r="P183" t="s">
        <v>53</v>
      </c>
      <c r="Q183" t="s">
        <v>37</v>
      </c>
      <c r="R183">
        <v>1</v>
      </c>
      <c r="S183" t="s">
        <v>38</v>
      </c>
      <c r="T183" t="s">
        <v>52</v>
      </c>
      <c r="V183" t="s">
        <v>40</v>
      </c>
      <c r="W183" t="s">
        <v>41</v>
      </c>
      <c r="X183" t="s">
        <v>43</v>
      </c>
      <c r="Y183" t="s">
        <v>44</v>
      </c>
      <c r="Z183">
        <v>5236</v>
      </c>
      <c r="AA183" t="s">
        <v>81</v>
      </c>
      <c r="AB183" t="s">
        <v>82</v>
      </c>
      <c r="AC183">
        <v>7</v>
      </c>
      <c r="AG183" t="s">
        <v>43</v>
      </c>
      <c r="AH183" t="s">
        <v>44</v>
      </c>
      <c r="AI183" t="s">
        <v>77</v>
      </c>
      <c r="AJ183">
        <v>9.9092977904625713E-3</v>
      </c>
    </row>
    <row r="184" spans="1:36" x14ac:dyDescent="0.3">
      <c r="A184" t="s">
        <v>72</v>
      </c>
      <c r="B184">
        <v>2025</v>
      </c>
      <c r="C184">
        <v>3</v>
      </c>
      <c r="D184" t="s">
        <v>91</v>
      </c>
      <c r="E184" t="s">
        <v>95</v>
      </c>
      <c r="F184" t="s">
        <v>50</v>
      </c>
      <c r="H184" t="s">
        <v>51</v>
      </c>
      <c r="I184" t="s">
        <v>84</v>
      </c>
      <c r="J184" t="s">
        <v>32</v>
      </c>
      <c r="L184">
        <v>2024</v>
      </c>
      <c r="M184" t="s">
        <v>34</v>
      </c>
      <c r="N184" t="s">
        <v>35</v>
      </c>
      <c r="O184">
        <v>127160</v>
      </c>
      <c r="P184" t="s">
        <v>36</v>
      </c>
      <c r="Q184" t="s">
        <v>47</v>
      </c>
      <c r="R184">
        <v>2024</v>
      </c>
      <c r="S184" t="s">
        <v>38</v>
      </c>
      <c r="T184" t="s">
        <v>39</v>
      </c>
      <c r="V184" t="s">
        <v>40</v>
      </c>
      <c r="W184" t="s">
        <v>41</v>
      </c>
      <c r="X184" t="s">
        <v>43</v>
      </c>
      <c r="Y184" t="s">
        <v>44</v>
      </c>
      <c r="Z184">
        <v>12569</v>
      </c>
      <c r="AA184" t="s">
        <v>81</v>
      </c>
      <c r="AB184" t="s">
        <v>82</v>
      </c>
      <c r="AC184">
        <v>1</v>
      </c>
      <c r="AG184" t="s">
        <v>73</v>
      </c>
      <c r="AH184" t="s">
        <v>74</v>
      </c>
      <c r="AI184" t="s">
        <v>75</v>
      </c>
      <c r="AJ184">
        <v>39.519277463109866</v>
      </c>
    </row>
    <row r="185" spans="1:36" x14ac:dyDescent="0.3">
      <c r="A185" t="s">
        <v>72</v>
      </c>
      <c r="B185">
        <v>2025</v>
      </c>
      <c r="C185">
        <v>3</v>
      </c>
      <c r="D185" t="s">
        <v>91</v>
      </c>
      <c r="E185" t="s">
        <v>95</v>
      </c>
      <c r="F185" t="s">
        <v>50</v>
      </c>
      <c r="H185" t="s">
        <v>51</v>
      </c>
      <c r="I185" t="s">
        <v>84</v>
      </c>
      <c r="J185" t="s">
        <v>32</v>
      </c>
      <c r="L185">
        <v>2024</v>
      </c>
      <c r="M185" t="s">
        <v>34</v>
      </c>
      <c r="N185" t="s">
        <v>35</v>
      </c>
      <c r="O185">
        <v>127160</v>
      </c>
      <c r="P185" t="s">
        <v>36</v>
      </c>
      <c r="Q185" t="s">
        <v>47</v>
      </c>
      <c r="R185">
        <v>2024</v>
      </c>
      <c r="S185" t="s">
        <v>38</v>
      </c>
      <c r="T185" t="s">
        <v>39</v>
      </c>
      <c r="V185" t="s">
        <v>40</v>
      </c>
      <c r="W185" t="s">
        <v>41</v>
      </c>
      <c r="X185" t="s">
        <v>43</v>
      </c>
      <c r="Y185" t="s">
        <v>44</v>
      </c>
      <c r="Z185">
        <v>12569</v>
      </c>
      <c r="AA185" t="s">
        <v>81</v>
      </c>
      <c r="AB185" t="s">
        <v>82</v>
      </c>
      <c r="AC185">
        <v>2</v>
      </c>
      <c r="AG185" t="s">
        <v>73</v>
      </c>
      <c r="AH185" t="s">
        <v>74</v>
      </c>
      <c r="AI185" t="s">
        <v>75</v>
      </c>
      <c r="AJ185">
        <v>57.751096014269493</v>
      </c>
    </row>
    <row r="186" spans="1:36" x14ac:dyDescent="0.3">
      <c r="A186" t="s">
        <v>72</v>
      </c>
      <c r="B186">
        <v>2025</v>
      </c>
      <c r="C186">
        <v>3</v>
      </c>
      <c r="D186" t="s">
        <v>91</v>
      </c>
      <c r="E186" t="s">
        <v>95</v>
      </c>
      <c r="F186" t="s">
        <v>50</v>
      </c>
      <c r="H186" t="s">
        <v>51</v>
      </c>
      <c r="I186" t="s">
        <v>84</v>
      </c>
      <c r="J186" t="s">
        <v>32</v>
      </c>
      <c r="L186">
        <v>2024</v>
      </c>
      <c r="M186" t="s">
        <v>34</v>
      </c>
      <c r="N186" t="s">
        <v>35</v>
      </c>
      <c r="O186">
        <v>127160</v>
      </c>
      <c r="P186" t="s">
        <v>36</v>
      </c>
      <c r="Q186" t="s">
        <v>47</v>
      </c>
      <c r="R186">
        <v>2024</v>
      </c>
      <c r="S186" t="s">
        <v>38</v>
      </c>
      <c r="T186" t="s">
        <v>39</v>
      </c>
      <c r="V186" t="s">
        <v>40</v>
      </c>
      <c r="W186" t="s">
        <v>41</v>
      </c>
      <c r="X186" t="s">
        <v>43</v>
      </c>
      <c r="Y186" t="s">
        <v>44</v>
      </c>
      <c r="Z186">
        <v>12569</v>
      </c>
      <c r="AA186" t="s">
        <v>81</v>
      </c>
      <c r="AB186" t="s">
        <v>82</v>
      </c>
      <c r="AC186">
        <v>3</v>
      </c>
      <c r="AG186" t="s">
        <v>73</v>
      </c>
      <c r="AH186" t="s">
        <v>74</v>
      </c>
      <c r="AI186" t="s">
        <v>75</v>
      </c>
      <c r="AJ186">
        <v>18.509783017386557</v>
      </c>
    </row>
    <row r="187" spans="1:36" x14ac:dyDescent="0.3">
      <c r="A187" t="s">
        <v>72</v>
      </c>
      <c r="B187">
        <v>2025</v>
      </c>
      <c r="C187">
        <v>3</v>
      </c>
      <c r="D187" t="s">
        <v>91</v>
      </c>
      <c r="E187" t="s">
        <v>95</v>
      </c>
      <c r="F187" t="s">
        <v>50</v>
      </c>
      <c r="H187" t="s">
        <v>51</v>
      </c>
      <c r="I187" t="s">
        <v>84</v>
      </c>
      <c r="J187" t="s">
        <v>32</v>
      </c>
      <c r="L187">
        <v>2024</v>
      </c>
      <c r="M187" t="s">
        <v>34</v>
      </c>
      <c r="N187" t="s">
        <v>35</v>
      </c>
      <c r="O187">
        <v>127160</v>
      </c>
      <c r="P187" t="s">
        <v>36</v>
      </c>
      <c r="Q187" t="s">
        <v>47</v>
      </c>
      <c r="R187">
        <v>2024</v>
      </c>
      <c r="S187" t="s">
        <v>38</v>
      </c>
      <c r="T187" t="s">
        <v>39</v>
      </c>
      <c r="V187" t="s">
        <v>40</v>
      </c>
      <c r="W187" t="s">
        <v>41</v>
      </c>
      <c r="X187" t="s">
        <v>43</v>
      </c>
      <c r="Y187" t="s">
        <v>44</v>
      </c>
      <c r="Z187">
        <v>12569</v>
      </c>
      <c r="AA187" t="s">
        <v>81</v>
      </c>
      <c r="AB187" t="s">
        <v>82</v>
      </c>
      <c r="AC187">
        <v>4</v>
      </c>
      <c r="AG187" t="s">
        <v>73</v>
      </c>
      <c r="AH187" t="s">
        <v>74</v>
      </c>
      <c r="AI187" t="s">
        <v>75</v>
      </c>
      <c r="AJ187">
        <v>214.70585711407375</v>
      </c>
    </row>
    <row r="188" spans="1:36" x14ac:dyDescent="0.3">
      <c r="A188" t="s">
        <v>72</v>
      </c>
      <c r="B188">
        <v>2025</v>
      </c>
      <c r="C188">
        <v>3</v>
      </c>
      <c r="D188" t="s">
        <v>91</v>
      </c>
      <c r="E188" t="s">
        <v>95</v>
      </c>
      <c r="F188" t="s">
        <v>50</v>
      </c>
      <c r="H188" t="s">
        <v>51</v>
      </c>
      <c r="I188" t="s">
        <v>84</v>
      </c>
      <c r="J188" t="s">
        <v>32</v>
      </c>
      <c r="L188">
        <v>2024</v>
      </c>
      <c r="M188" t="s">
        <v>34</v>
      </c>
      <c r="N188" t="s">
        <v>35</v>
      </c>
      <c r="O188">
        <v>127160</v>
      </c>
      <c r="P188" t="s">
        <v>36</v>
      </c>
      <c r="Q188" t="s">
        <v>47</v>
      </c>
      <c r="R188">
        <v>2024</v>
      </c>
      <c r="S188" t="s">
        <v>38</v>
      </c>
      <c r="T188" t="s">
        <v>39</v>
      </c>
      <c r="V188" t="s">
        <v>40</v>
      </c>
      <c r="W188" t="s">
        <v>41</v>
      </c>
      <c r="X188" t="s">
        <v>43</v>
      </c>
      <c r="Y188" t="s">
        <v>44</v>
      </c>
      <c r="Z188">
        <v>12569</v>
      </c>
      <c r="AA188" t="s">
        <v>81</v>
      </c>
      <c r="AB188" t="s">
        <v>82</v>
      </c>
      <c r="AC188">
        <v>5</v>
      </c>
      <c r="AG188" t="s">
        <v>73</v>
      </c>
      <c r="AH188" t="s">
        <v>74</v>
      </c>
      <c r="AI188" t="s">
        <v>75</v>
      </c>
      <c r="AJ188">
        <v>317.94401554399303</v>
      </c>
    </row>
    <row r="189" spans="1:36" x14ac:dyDescent="0.3">
      <c r="A189" t="s">
        <v>72</v>
      </c>
      <c r="B189">
        <v>2025</v>
      </c>
      <c r="C189">
        <v>3</v>
      </c>
      <c r="D189" t="s">
        <v>91</v>
      </c>
      <c r="E189" t="s">
        <v>95</v>
      </c>
      <c r="F189" t="s">
        <v>50</v>
      </c>
      <c r="H189" t="s">
        <v>51</v>
      </c>
      <c r="I189" t="s">
        <v>84</v>
      </c>
      <c r="J189" t="s">
        <v>32</v>
      </c>
      <c r="L189">
        <v>2024</v>
      </c>
      <c r="M189" t="s">
        <v>34</v>
      </c>
      <c r="N189" t="s">
        <v>35</v>
      </c>
      <c r="O189">
        <v>127160</v>
      </c>
      <c r="P189" t="s">
        <v>36</v>
      </c>
      <c r="Q189" t="s">
        <v>47</v>
      </c>
      <c r="R189">
        <v>2024</v>
      </c>
      <c r="S189" t="s">
        <v>38</v>
      </c>
      <c r="T189" t="s">
        <v>39</v>
      </c>
      <c r="V189" t="s">
        <v>40</v>
      </c>
      <c r="W189" t="s">
        <v>41</v>
      </c>
      <c r="X189" t="s">
        <v>43</v>
      </c>
      <c r="Y189" t="s">
        <v>44</v>
      </c>
      <c r="Z189">
        <v>12569</v>
      </c>
      <c r="AA189" t="s">
        <v>81</v>
      </c>
      <c r="AB189" t="s">
        <v>82</v>
      </c>
      <c r="AC189">
        <v>6</v>
      </c>
      <c r="AG189" t="s">
        <v>73</v>
      </c>
      <c r="AH189" t="s">
        <v>74</v>
      </c>
      <c r="AI189" t="s">
        <v>75</v>
      </c>
      <c r="AJ189">
        <v>315.28201822500995</v>
      </c>
    </row>
    <row r="190" spans="1:36" x14ac:dyDescent="0.3">
      <c r="A190" t="s">
        <v>72</v>
      </c>
      <c r="B190">
        <v>2025</v>
      </c>
      <c r="C190">
        <v>3</v>
      </c>
      <c r="D190" t="s">
        <v>91</v>
      </c>
      <c r="E190" t="s">
        <v>95</v>
      </c>
      <c r="F190" t="s">
        <v>50</v>
      </c>
      <c r="H190" t="s">
        <v>51</v>
      </c>
      <c r="I190" t="s">
        <v>84</v>
      </c>
      <c r="J190" t="s">
        <v>32</v>
      </c>
      <c r="L190">
        <v>2024</v>
      </c>
      <c r="M190" t="s">
        <v>34</v>
      </c>
      <c r="N190" t="s">
        <v>35</v>
      </c>
      <c r="O190">
        <v>127160</v>
      </c>
      <c r="P190" t="s">
        <v>36</v>
      </c>
      <c r="Q190" t="s">
        <v>47</v>
      </c>
      <c r="R190">
        <v>2024</v>
      </c>
      <c r="S190" t="s">
        <v>38</v>
      </c>
      <c r="T190" t="s">
        <v>39</v>
      </c>
      <c r="V190" t="s">
        <v>40</v>
      </c>
      <c r="W190" t="s">
        <v>41</v>
      </c>
      <c r="X190" t="s">
        <v>43</v>
      </c>
      <c r="Y190" t="s">
        <v>44</v>
      </c>
      <c r="Z190">
        <v>12569</v>
      </c>
      <c r="AA190" t="s">
        <v>81</v>
      </c>
      <c r="AB190" t="s">
        <v>82</v>
      </c>
      <c r="AC190">
        <v>7</v>
      </c>
      <c r="AG190" t="s">
        <v>73</v>
      </c>
      <c r="AH190" t="s">
        <v>74</v>
      </c>
      <c r="AI190" t="s">
        <v>75</v>
      </c>
      <c r="AJ190">
        <v>455.4725519293911</v>
      </c>
    </row>
    <row r="191" spans="1:36" x14ac:dyDescent="0.3">
      <c r="A191" t="s">
        <v>72</v>
      </c>
      <c r="B191">
        <v>2025</v>
      </c>
      <c r="C191">
        <v>3</v>
      </c>
      <c r="D191" t="s">
        <v>91</v>
      </c>
      <c r="E191" t="s">
        <v>95</v>
      </c>
      <c r="F191" t="s">
        <v>50</v>
      </c>
      <c r="H191" t="s">
        <v>51</v>
      </c>
      <c r="I191" t="s">
        <v>84</v>
      </c>
      <c r="J191" t="s">
        <v>32</v>
      </c>
      <c r="L191">
        <v>2024</v>
      </c>
      <c r="M191" t="s">
        <v>34</v>
      </c>
      <c r="N191" t="s">
        <v>35</v>
      </c>
      <c r="O191">
        <v>127160</v>
      </c>
      <c r="P191" t="s">
        <v>36</v>
      </c>
      <c r="Q191" t="s">
        <v>47</v>
      </c>
      <c r="R191">
        <v>2024</v>
      </c>
      <c r="S191" t="s">
        <v>38</v>
      </c>
      <c r="T191" t="s">
        <v>39</v>
      </c>
      <c r="V191" t="s">
        <v>40</v>
      </c>
      <c r="W191" t="s">
        <v>41</v>
      </c>
      <c r="X191" t="s">
        <v>43</v>
      </c>
      <c r="Y191" t="s">
        <v>44</v>
      </c>
      <c r="Z191">
        <v>12569</v>
      </c>
      <c r="AA191" t="s">
        <v>81</v>
      </c>
      <c r="AB191" t="s">
        <v>82</v>
      </c>
      <c r="AC191">
        <v>1</v>
      </c>
      <c r="AG191" t="s">
        <v>43</v>
      </c>
      <c r="AH191" t="s">
        <v>44</v>
      </c>
      <c r="AI191" t="s">
        <v>77</v>
      </c>
      <c r="AJ191">
        <v>5.4675291723273898E-3</v>
      </c>
    </row>
    <row r="192" spans="1:36" x14ac:dyDescent="0.3">
      <c r="A192" t="s">
        <v>72</v>
      </c>
      <c r="B192">
        <v>2025</v>
      </c>
      <c r="C192">
        <v>3</v>
      </c>
      <c r="D192" t="s">
        <v>91</v>
      </c>
      <c r="E192" t="s">
        <v>95</v>
      </c>
      <c r="F192" t="s">
        <v>50</v>
      </c>
      <c r="H192" t="s">
        <v>51</v>
      </c>
      <c r="I192" t="s">
        <v>84</v>
      </c>
      <c r="J192" t="s">
        <v>32</v>
      </c>
      <c r="L192">
        <v>2024</v>
      </c>
      <c r="M192" t="s">
        <v>34</v>
      </c>
      <c r="N192" t="s">
        <v>35</v>
      </c>
      <c r="O192">
        <v>127160</v>
      </c>
      <c r="P192" t="s">
        <v>36</v>
      </c>
      <c r="Q192" t="s">
        <v>47</v>
      </c>
      <c r="R192">
        <v>2024</v>
      </c>
      <c r="S192" t="s">
        <v>38</v>
      </c>
      <c r="T192" t="s">
        <v>39</v>
      </c>
      <c r="V192" t="s">
        <v>40</v>
      </c>
      <c r="W192" t="s">
        <v>41</v>
      </c>
      <c r="X192" t="s">
        <v>43</v>
      </c>
      <c r="Y192" t="s">
        <v>44</v>
      </c>
      <c r="Z192">
        <v>12569</v>
      </c>
      <c r="AA192" t="s">
        <v>81</v>
      </c>
      <c r="AB192" t="s">
        <v>82</v>
      </c>
      <c r="AC192">
        <v>2</v>
      </c>
      <c r="AG192" t="s">
        <v>43</v>
      </c>
      <c r="AH192" t="s">
        <v>44</v>
      </c>
      <c r="AI192" t="s">
        <v>77</v>
      </c>
      <c r="AJ192">
        <v>6.1144567118772992E-3</v>
      </c>
    </row>
    <row r="193" spans="1:36" x14ac:dyDescent="0.3">
      <c r="A193" t="s">
        <v>72</v>
      </c>
      <c r="B193">
        <v>2025</v>
      </c>
      <c r="C193">
        <v>3</v>
      </c>
      <c r="D193" t="s">
        <v>91</v>
      </c>
      <c r="E193" t="s">
        <v>95</v>
      </c>
      <c r="F193" t="s">
        <v>50</v>
      </c>
      <c r="H193" t="s">
        <v>51</v>
      </c>
      <c r="I193" t="s">
        <v>84</v>
      </c>
      <c r="J193" t="s">
        <v>32</v>
      </c>
      <c r="L193">
        <v>2024</v>
      </c>
      <c r="M193" t="s">
        <v>34</v>
      </c>
      <c r="N193" t="s">
        <v>35</v>
      </c>
      <c r="O193">
        <v>127160</v>
      </c>
      <c r="P193" t="s">
        <v>36</v>
      </c>
      <c r="Q193" t="s">
        <v>47</v>
      </c>
      <c r="R193">
        <v>2024</v>
      </c>
      <c r="S193" t="s">
        <v>38</v>
      </c>
      <c r="T193" t="s">
        <v>39</v>
      </c>
      <c r="V193" t="s">
        <v>40</v>
      </c>
      <c r="W193" t="s">
        <v>41</v>
      </c>
      <c r="X193" t="s">
        <v>43</v>
      </c>
      <c r="Y193" t="s">
        <v>44</v>
      </c>
      <c r="Z193">
        <v>12569</v>
      </c>
      <c r="AA193" t="s">
        <v>81</v>
      </c>
      <c r="AB193" t="s">
        <v>82</v>
      </c>
      <c r="AC193">
        <v>3</v>
      </c>
      <c r="AG193" t="s">
        <v>43</v>
      </c>
      <c r="AH193" t="s">
        <v>44</v>
      </c>
      <c r="AI193" t="s">
        <v>77</v>
      </c>
      <c r="AJ193">
        <v>6.9160162542765101E-3</v>
      </c>
    </row>
    <row r="194" spans="1:36" x14ac:dyDescent="0.3">
      <c r="A194" t="s">
        <v>72</v>
      </c>
      <c r="B194">
        <v>2025</v>
      </c>
      <c r="C194">
        <v>3</v>
      </c>
      <c r="D194" t="s">
        <v>91</v>
      </c>
      <c r="E194" t="s">
        <v>95</v>
      </c>
      <c r="F194" t="s">
        <v>50</v>
      </c>
      <c r="H194" t="s">
        <v>51</v>
      </c>
      <c r="I194" t="s">
        <v>84</v>
      </c>
      <c r="J194" t="s">
        <v>32</v>
      </c>
      <c r="L194">
        <v>2024</v>
      </c>
      <c r="M194" t="s">
        <v>34</v>
      </c>
      <c r="N194" t="s">
        <v>35</v>
      </c>
      <c r="O194">
        <v>127160</v>
      </c>
      <c r="P194" t="s">
        <v>36</v>
      </c>
      <c r="Q194" t="s">
        <v>47</v>
      </c>
      <c r="R194">
        <v>2024</v>
      </c>
      <c r="S194" t="s">
        <v>38</v>
      </c>
      <c r="T194" t="s">
        <v>39</v>
      </c>
      <c r="V194" t="s">
        <v>40</v>
      </c>
      <c r="W194" t="s">
        <v>41</v>
      </c>
      <c r="X194" t="s">
        <v>43</v>
      </c>
      <c r="Y194" t="s">
        <v>44</v>
      </c>
      <c r="Z194">
        <v>12569</v>
      </c>
      <c r="AA194" t="s">
        <v>81</v>
      </c>
      <c r="AB194" t="s">
        <v>82</v>
      </c>
      <c r="AC194">
        <v>4</v>
      </c>
      <c r="AG194" t="s">
        <v>43</v>
      </c>
      <c r="AH194" t="s">
        <v>44</v>
      </c>
      <c r="AI194" t="s">
        <v>77</v>
      </c>
      <c r="AJ194">
        <v>7.4743746738224134E-3</v>
      </c>
    </row>
    <row r="195" spans="1:36" x14ac:dyDescent="0.3">
      <c r="A195" t="s">
        <v>72</v>
      </c>
      <c r="B195">
        <v>2025</v>
      </c>
      <c r="C195">
        <v>3</v>
      </c>
      <c r="D195" t="s">
        <v>91</v>
      </c>
      <c r="E195" t="s">
        <v>95</v>
      </c>
      <c r="F195" t="s">
        <v>50</v>
      </c>
      <c r="H195" t="s">
        <v>51</v>
      </c>
      <c r="I195" t="s">
        <v>84</v>
      </c>
      <c r="J195" t="s">
        <v>32</v>
      </c>
      <c r="L195">
        <v>2024</v>
      </c>
      <c r="M195" t="s">
        <v>34</v>
      </c>
      <c r="N195" t="s">
        <v>35</v>
      </c>
      <c r="O195">
        <v>127160</v>
      </c>
      <c r="P195" t="s">
        <v>36</v>
      </c>
      <c r="Q195" t="s">
        <v>47</v>
      </c>
      <c r="R195">
        <v>2024</v>
      </c>
      <c r="S195" t="s">
        <v>38</v>
      </c>
      <c r="T195" t="s">
        <v>39</v>
      </c>
      <c r="V195" t="s">
        <v>40</v>
      </c>
      <c r="W195" t="s">
        <v>41</v>
      </c>
      <c r="X195" t="s">
        <v>43</v>
      </c>
      <c r="Y195" t="s">
        <v>44</v>
      </c>
      <c r="Z195">
        <v>12569</v>
      </c>
      <c r="AA195" t="s">
        <v>81</v>
      </c>
      <c r="AB195" t="s">
        <v>82</v>
      </c>
      <c r="AC195">
        <v>5</v>
      </c>
      <c r="AG195" t="s">
        <v>43</v>
      </c>
      <c r="AH195" t="s">
        <v>44</v>
      </c>
      <c r="AI195" t="s">
        <v>77</v>
      </c>
      <c r="AJ195">
        <v>8.3492896233372631E-3</v>
      </c>
    </row>
    <row r="196" spans="1:36" x14ac:dyDescent="0.3">
      <c r="A196" t="s">
        <v>72</v>
      </c>
      <c r="B196">
        <v>2025</v>
      </c>
      <c r="C196">
        <v>3</v>
      </c>
      <c r="D196" t="s">
        <v>91</v>
      </c>
      <c r="E196" t="s">
        <v>95</v>
      </c>
      <c r="F196" t="s">
        <v>50</v>
      </c>
      <c r="H196" t="s">
        <v>51</v>
      </c>
      <c r="I196" t="s">
        <v>84</v>
      </c>
      <c r="J196" t="s">
        <v>32</v>
      </c>
      <c r="L196">
        <v>2024</v>
      </c>
      <c r="M196" t="s">
        <v>34</v>
      </c>
      <c r="N196" t="s">
        <v>35</v>
      </c>
      <c r="O196">
        <v>127160</v>
      </c>
      <c r="P196" t="s">
        <v>36</v>
      </c>
      <c r="Q196" t="s">
        <v>47</v>
      </c>
      <c r="R196">
        <v>2024</v>
      </c>
      <c r="S196" t="s">
        <v>38</v>
      </c>
      <c r="T196" t="s">
        <v>39</v>
      </c>
      <c r="V196" t="s">
        <v>40</v>
      </c>
      <c r="W196" t="s">
        <v>41</v>
      </c>
      <c r="X196" t="s">
        <v>43</v>
      </c>
      <c r="Y196" t="s">
        <v>44</v>
      </c>
      <c r="Z196">
        <v>12569</v>
      </c>
      <c r="AA196" t="s">
        <v>81</v>
      </c>
      <c r="AB196" t="s">
        <v>82</v>
      </c>
      <c r="AC196">
        <v>6</v>
      </c>
      <c r="AG196" t="s">
        <v>43</v>
      </c>
      <c r="AH196" t="s">
        <v>44</v>
      </c>
      <c r="AI196" t="s">
        <v>77</v>
      </c>
      <c r="AJ196">
        <v>9.8292469555517105E-3</v>
      </c>
    </row>
    <row r="197" spans="1:36" x14ac:dyDescent="0.3">
      <c r="A197" t="s">
        <v>72</v>
      </c>
      <c r="B197">
        <v>2025</v>
      </c>
      <c r="C197">
        <v>3</v>
      </c>
      <c r="D197" t="s">
        <v>91</v>
      </c>
      <c r="E197" t="s">
        <v>95</v>
      </c>
      <c r="F197" t="s">
        <v>50</v>
      </c>
      <c r="H197" t="s">
        <v>51</v>
      </c>
      <c r="I197" t="s">
        <v>84</v>
      </c>
      <c r="J197" t="s">
        <v>32</v>
      </c>
      <c r="L197">
        <v>2024</v>
      </c>
      <c r="M197" t="s">
        <v>34</v>
      </c>
      <c r="N197" t="s">
        <v>35</v>
      </c>
      <c r="O197">
        <v>127160</v>
      </c>
      <c r="P197" t="s">
        <v>36</v>
      </c>
      <c r="Q197" t="s">
        <v>47</v>
      </c>
      <c r="R197">
        <v>2024</v>
      </c>
      <c r="S197" t="s">
        <v>38</v>
      </c>
      <c r="T197" t="s">
        <v>39</v>
      </c>
      <c r="V197" t="s">
        <v>40</v>
      </c>
      <c r="W197" t="s">
        <v>41</v>
      </c>
      <c r="X197" t="s">
        <v>43</v>
      </c>
      <c r="Y197" t="s">
        <v>44</v>
      </c>
      <c r="Z197">
        <v>12569</v>
      </c>
      <c r="AA197" t="s">
        <v>81</v>
      </c>
      <c r="AB197" t="s">
        <v>82</v>
      </c>
      <c r="AC197">
        <v>7</v>
      </c>
      <c r="AG197" t="s">
        <v>43</v>
      </c>
      <c r="AH197" t="s">
        <v>44</v>
      </c>
      <c r="AI197" t="s">
        <v>77</v>
      </c>
      <c r="AJ197">
        <v>9.9092977904625713E-3</v>
      </c>
    </row>
    <row r="198" spans="1:36" x14ac:dyDescent="0.3">
      <c r="A198" t="s">
        <v>72</v>
      </c>
      <c r="B198">
        <v>2025</v>
      </c>
      <c r="C198">
        <v>3</v>
      </c>
      <c r="D198" t="s">
        <v>91</v>
      </c>
      <c r="E198" t="s">
        <v>95</v>
      </c>
      <c r="F198" t="s">
        <v>50</v>
      </c>
      <c r="H198" t="s">
        <v>51</v>
      </c>
      <c r="I198" t="s">
        <v>84</v>
      </c>
      <c r="J198" t="s">
        <v>32</v>
      </c>
      <c r="L198">
        <v>2024</v>
      </c>
      <c r="M198" t="s">
        <v>34</v>
      </c>
      <c r="N198" t="s">
        <v>35</v>
      </c>
      <c r="O198">
        <v>127160</v>
      </c>
      <c r="P198" t="s">
        <v>36</v>
      </c>
      <c r="Q198" t="s">
        <v>37</v>
      </c>
      <c r="R198">
        <v>1</v>
      </c>
      <c r="S198" t="s">
        <v>38</v>
      </c>
      <c r="T198" t="s">
        <v>52</v>
      </c>
      <c r="V198" t="s">
        <v>40</v>
      </c>
      <c r="W198" t="s">
        <v>41</v>
      </c>
      <c r="X198" t="s">
        <v>43</v>
      </c>
      <c r="Y198" t="s">
        <v>44</v>
      </c>
      <c r="Z198">
        <v>258</v>
      </c>
      <c r="AA198" t="s">
        <v>81</v>
      </c>
      <c r="AB198" t="s">
        <v>82</v>
      </c>
      <c r="AC198">
        <v>1</v>
      </c>
      <c r="AG198" t="s">
        <v>73</v>
      </c>
      <c r="AH198" t="s">
        <v>74</v>
      </c>
      <c r="AI198" t="s">
        <v>75</v>
      </c>
      <c r="AJ198">
        <v>16.462959407816314</v>
      </c>
    </row>
    <row r="199" spans="1:36" x14ac:dyDescent="0.3">
      <c r="A199" t="s">
        <v>72</v>
      </c>
      <c r="B199">
        <v>2025</v>
      </c>
      <c r="C199">
        <v>3</v>
      </c>
      <c r="D199" t="s">
        <v>91</v>
      </c>
      <c r="E199" t="s">
        <v>95</v>
      </c>
      <c r="F199" t="s">
        <v>50</v>
      </c>
      <c r="H199" t="s">
        <v>51</v>
      </c>
      <c r="I199" t="s">
        <v>84</v>
      </c>
      <c r="J199" t="s">
        <v>32</v>
      </c>
      <c r="L199">
        <v>2024</v>
      </c>
      <c r="M199" t="s">
        <v>34</v>
      </c>
      <c r="N199" t="s">
        <v>35</v>
      </c>
      <c r="O199">
        <v>127160</v>
      </c>
      <c r="P199" t="s">
        <v>36</v>
      </c>
      <c r="Q199" t="s">
        <v>37</v>
      </c>
      <c r="R199">
        <v>1</v>
      </c>
      <c r="S199" t="s">
        <v>38</v>
      </c>
      <c r="T199" t="s">
        <v>52</v>
      </c>
      <c r="V199" t="s">
        <v>40</v>
      </c>
      <c r="W199" t="s">
        <v>41</v>
      </c>
      <c r="X199" t="s">
        <v>43</v>
      </c>
      <c r="Y199" t="s">
        <v>44</v>
      </c>
      <c r="Z199">
        <v>258</v>
      </c>
      <c r="AA199" t="s">
        <v>81</v>
      </c>
      <c r="AB199" t="s">
        <v>82</v>
      </c>
      <c r="AC199">
        <v>2</v>
      </c>
      <c r="AG199" t="s">
        <v>73</v>
      </c>
      <c r="AH199" t="s">
        <v>74</v>
      </c>
      <c r="AI199" t="s">
        <v>75</v>
      </c>
      <c r="AJ199">
        <v>24.05797905407869</v>
      </c>
    </row>
    <row r="200" spans="1:36" x14ac:dyDescent="0.3">
      <c r="A200" t="s">
        <v>72</v>
      </c>
      <c r="B200">
        <v>2025</v>
      </c>
      <c r="C200">
        <v>3</v>
      </c>
      <c r="D200" t="s">
        <v>91</v>
      </c>
      <c r="E200" t="s">
        <v>95</v>
      </c>
      <c r="F200" t="s">
        <v>50</v>
      </c>
      <c r="H200" t="s">
        <v>51</v>
      </c>
      <c r="I200" t="s">
        <v>84</v>
      </c>
      <c r="J200" t="s">
        <v>32</v>
      </c>
      <c r="L200">
        <v>2024</v>
      </c>
      <c r="M200" t="s">
        <v>34</v>
      </c>
      <c r="N200" t="s">
        <v>35</v>
      </c>
      <c r="O200">
        <v>127160</v>
      </c>
      <c r="P200" t="s">
        <v>36</v>
      </c>
      <c r="Q200" t="s">
        <v>37</v>
      </c>
      <c r="R200">
        <v>1</v>
      </c>
      <c r="S200" t="s">
        <v>38</v>
      </c>
      <c r="T200" t="s">
        <v>52</v>
      </c>
      <c r="V200" t="s">
        <v>40</v>
      </c>
      <c r="W200" t="s">
        <v>41</v>
      </c>
      <c r="X200" t="s">
        <v>43</v>
      </c>
      <c r="Y200" t="s">
        <v>44</v>
      </c>
      <c r="Z200">
        <v>258</v>
      </c>
      <c r="AA200" t="s">
        <v>81</v>
      </c>
      <c r="AB200" t="s">
        <v>82</v>
      </c>
      <c r="AC200">
        <v>3</v>
      </c>
      <c r="AG200" t="s">
        <v>73</v>
      </c>
      <c r="AH200" t="s">
        <v>74</v>
      </c>
      <c r="AI200" t="s">
        <v>75</v>
      </c>
      <c r="AJ200">
        <v>7.7108142158513813</v>
      </c>
    </row>
    <row r="201" spans="1:36" x14ac:dyDescent="0.3">
      <c r="A201" t="s">
        <v>72</v>
      </c>
      <c r="B201">
        <v>2025</v>
      </c>
      <c r="C201">
        <v>3</v>
      </c>
      <c r="D201" t="s">
        <v>91</v>
      </c>
      <c r="E201" t="s">
        <v>95</v>
      </c>
      <c r="F201" t="s">
        <v>50</v>
      </c>
      <c r="H201" t="s">
        <v>51</v>
      </c>
      <c r="I201" t="s">
        <v>84</v>
      </c>
      <c r="J201" t="s">
        <v>32</v>
      </c>
      <c r="L201">
        <v>2024</v>
      </c>
      <c r="M201" t="s">
        <v>34</v>
      </c>
      <c r="N201" t="s">
        <v>35</v>
      </c>
      <c r="O201">
        <v>127160</v>
      </c>
      <c r="P201" t="s">
        <v>36</v>
      </c>
      <c r="Q201" t="s">
        <v>37</v>
      </c>
      <c r="R201">
        <v>1</v>
      </c>
      <c r="S201" t="s">
        <v>38</v>
      </c>
      <c r="T201" t="s">
        <v>52</v>
      </c>
      <c r="V201" t="s">
        <v>40</v>
      </c>
      <c r="W201" t="s">
        <v>41</v>
      </c>
      <c r="X201" t="s">
        <v>43</v>
      </c>
      <c r="Y201" t="s">
        <v>44</v>
      </c>
      <c r="Z201">
        <v>258</v>
      </c>
      <c r="AA201" t="s">
        <v>81</v>
      </c>
      <c r="AB201" t="s">
        <v>82</v>
      </c>
      <c r="AC201">
        <v>4</v>
      </c>
      <c r="AG201" t="s">
        <v>73</v>
      </c>
      <c r="AH201" t="s">
        <v>74</v>
      </c>
      <c r="AI201" t="s">
        <v>75</v>
      </c>
      <c r="AJ201">
        <v>89.442268107987118</v>
      </c>
    </row>
    <row r="202" spans="1:36" x14ac:dyDescent="0.3">
      <c r="A202" t="s">
        <v>72</v>
      </c>
      <c r="B202">
        <v>2025</v>
      </c>
      <c r="C202">
        <v>3</v>
      </c>
      <c r="D202" t="s">
        <v>91</v>
      </c>
      <c r="E202" t="s">
        <v>95</v>
      </c>
      <c r="F202" t="s">
        <v>50</v>
      </c>
      <c r="H202" t="s">
        <v>51</v>
      </c>
      <c r="I202" t="s">
        <v>84</v>
      </c>
      <c r="J202" t="s">
        <v>32</v>
      </c>
      <c r="L202">
        <v>2024</v>
      </c>
      <c r="M202" t="s">
        <v>34</v>
      </c>
      <c r="N202" t="s">
        <v>35</v>
      </c>
      <c r="O202">
        <v>127160</v>
      </c>
      <c r="P202" t="s">
        <v>36</v>
      </c>
      <c r="Q202" t="s">
        <v>37</v>
      </c>
      <c r="R202">
        <v>1</v>
      </c>
      <c r="S202" t="s">
        <v>38</v>
      </c>
      <c r="T202" t="s">
        <v>52</v>
      </c>
      <c r="V202" t="s">
        <v>40</v>
      </c>
      <c r="W202" t="s">
        <v>41</v>
      </c>
      <c r="X202" t="s">
        <v>43</v>
      </c>
      <c r="Y202" t="s">
        <v>44</v>
      </c>
      <c r="Z202">
        <v>258</v>
      </c>
      <c r="AA202" t="s">
        <v>81</v>
      </c>
      <c r="AB202" t="s">
        <v>82</v>
      </c>
      <c r="AC202">
        <v>5</v>
      </c>
      <c r="AG202" t="s">
        <v>73</v>
      </c>
      <c r="AH202" t="s">
        <v>74</v>
      </c>
      <c r="AI202" t="s">
        <v>75</v>
      </c>
      <c r="AJ202">
        <v>132.4492692647265</v>
      </c>
    </row>
    <row r="203" spans="1:36" x14ac:dyDescent="0.3">
      <c r="A203" t="s">
        <v>72</v>
      </c>
      <c r="B203">
        <v>2025</v>
      </c>
      <c r="C203">
        <v>3</v>
      </c>
      <c r="D203" t="s">
        <v>91</v>
      </c>
      <c r="E203" t="s">
        <v>95</v>
      </c>
      <c r="F203" t="s">
        <v>50</v>
      </c>
      <c r="H203" t="s">
        <v>51</v>
      </c>
      <c r="I203" t="s">
        <v>84</v>
      </c>
      <c r="J203" t="s">
        <v>32</v>
      </c>
      <c r="L203">
        <v>2024</v>
      </c>
      <c r="M203" t="s">
        <v>34</v>
      </c>
      <c r="N203" t="s">
        <v>35</v>
      </c>
      <c r="O203">
        <v>127160</v>
      </c>
      <c r="P203" t="s">
        <v>36</v>
      </c>
      <c r="Q203" t="s">
        <v>37</v>
      </c>
      <c r="R203">
        <v>1</v>
      </c>
      <c r="S203" t="s">
        <v>38</v>
      </c>
      <c r="T203" t="s">
        <v>52</v>
      </c>
      <c r="V203" t="s">
        <v>40</v>
      </c>
      <c r="W203" t="s">
        <v>41</v>
      </c>
      <c r="X203" t="s">
        <v>43</v>
      </c>
      <c r="Y203" t="s">
        <v>44</v>
      </c>
      <c r="Z203">
        <v>258</v>
      </c>
      <c r="AA203" t="s">
        <v>81</v>
      </c>
      <c r="AB203" t="s">
        <v>82</v>
      </c>
      <c r="AC203">
        <v>6</v>
      </c>
      <c r="AG203" t="s">
        <v>73</v>
      </c>
      <c r="AH203" t="s">
        <v>74</v>
      </c>
      <c r="AI203" t="s">
        <v>75</v>
      </c>
      <c r="AJ203">
        <v>131.34033315507614</v>
      </c>
    </row>
    <row r="204" spans="1:36" x14ac:dyDescent="0.3">
      <c r="A204" t="s">
        <v>72</v>
      </c>
      <c r="B204">
        <v>2025</v>
      </c>
      <c r="C204">
        <v>3</v>
      </c>
      <c r="D204" t="s">
        <v>91</v>
      </c>
      <c r="E204" t="s">
        <v>95</v>
      </c>
      <c r="F204" t="s">
        <v>50</v>
      </c>
      <c r="H204" t="s">
        <v>51</v>
      </c>
      <c r="I204" t="s">
        <v>84</v>
      </c>
      <c r="J204" t="s">
        <v>32</v>
      </c>
      <c r="L204">
        <v>2024</v>
      </c>
      <c r="M204" t="s">
        <v>34</v>
      </c>
      <c r="N204" t="s">
        <v>35</v>
      </c>
      <c r="O204">
        <v>127160</v>
      </c>
      <c r="P204" t="s">
        <v>36</v>
      </c>
      <c r="Q204" t="s">
        <v>37</v>
      </c>
      <c r="R204">
        <v>1</v>
      </c>
      <c r="S204" t="s">
        <v>38</v>
      </c>
      <c r="T204" t="s">
        <v>52</v>
      </c>
      <c r="V204" t="s">
        <v>40</v>
      </c>
      <c r="W204" t="s">
        <v>41</v>
      </c>
      <c r="X204" t="s">
        <v>43</v>
      </c>
      <c r="Y204" t="s">
        <v>44</v>
      </c>
      <c r="Z204">
        <v>258</v>
      </c>
      <c r="AA204" t="s">
        <v>81</v>
      </c>
      <c r="AB204" t="s">
        <v>82</v>
      </c>
      <c r="AC204">
        <v>7</v>
      </c>
      <c r="AG204" t="s">
        <v>73</v>
      </c>
      <c r="AH204" t="s">
        <v>74</v>
      </c>
      <c r="AI204" t="s">
        <v>75</v>
      </c>
      <c r="AJ204">
        <v>189.74097238462022</v>
      </c>
    </row>
    <row r="205" spans="1:36" x14ac:dyDescent="0.3">
      <c r="A205" t="s">
        <v>72</v>
      </c>
      <c r="B205">
        <v>2025</v>
      </c>
      <c r="C205">
        <v>3</v>
      </c>
      <c r="D205" t="s">
        <v>91</v>
      </c>
      <c r="E205" t="s">
        <v>95</v>
      </c>
      <c r="F205" t="s">
        <v>50</v>
      </c>
      <c r="H205" t="s">
        <v>51</v>
      </c>
      <c r="I205" t="s">
        <v>84</v>
      </c>
      <c r="J205" t="s">
        <v>32</v>
      </c>
      <c r="L205">
        <v>2024</v>
      </c>
      <c r="M205" t="s">
        <v>34</v>
      </c>
      <c r="N205" t="s">
        <v>35</v>
      </c>
      <c r="O205">
        <v>127160</v>
      </c>
      <c r="P205" t="s">
        <v>36</v>
      </c>
      <c r="Q205" t="s">
        <v>37</v>
      </c>
      <c r="R205">
        <v>1</v>
      </c>
      <c r="S205" t="s">
        <v>38</v>
      </c>
      <c r="T205" t="s">
        <v>52</v>
      </c>
      <c r="V205" t="s">
        <v>40</v>
      </c>
      <c r="W205" t="s">
        <v>41</v>
      </c>
      <c r="X205" t="s">
        <v>43</v>
      </c>
      <c r="Y205" t="s">
        <v>44</v>
      </c>
      <c r="Z205">
        <v>258</v>
      </c>
      <c r="AA205" t="s">
        <v>81</v>
      </c>
      <c r="AB205" t="s">
        <v>82</v>
      </c>
      <c r="AC205">
        <v>1</v>
      </c>
      <c r="AG205" t="s">
        <v>43</v>
      </c>
      <c r="AH205" t="s">
        <v>44</v>
      </c>
      <c r="AI205" t="s">
        <v>77</v>
      </c>
      <c r="AJ205">
        <v>5.4675291723273898E-3</v>
      </c>
    </row>
    <row r="206" spans="1:36" x14ac:dyDescent="0.3">
      <c r="A206" t="s">
        <v>72</v>
      </c>
      <c r="B206">
        <v>2025</v>
      </c>
      <c r="C206">
        <v>3</v>
      </c>
      <c r="D206" t="s">
        <v>91</v>
      </c>
      <c r="E206" t="s">
        <v>95</v>
      </c>
      <c r="F206" t="s">
        <v>50</v>
      </c>
      <c r="H206" t="s">
        <v>51</v>
      </c>
      <c r="I206" t="s">
        <v>84</v>
      </c>
      <c r="J206" t="s">
        <v>32</v>
      </c>
      <c r="L206">
        <v>2024</v>
      </c>
      <c r="M206" t="s">
        <v>34</v>
      </c>
      <c r="N206" t="s">
        <v>35</v>
      </c>
      <c r="O206">
        <v>127160</v>
      </c>
      <c r="P206" t="s">
        <v>36</v>
      </c>
      <c r="Q206" t="s">
        <v>37</v>
      </c>
      <c r="R206">
        <v>1</v>
      </c>
      <c r="S206" t="s">
        <v>38</v>
      </c>
      <c r="T206" t="s">
        <v>52</v>
      </c>
      <c r="V206" t="s">
        <v>40</v>
      </c>
      <c r="W206" t="s">
        <v>41</v>
      </c>
      <c r="X206" t="s">
        <v>43</v>
      </c>
      <c r="Y206" t="s">
        <v>44</v>
      </c>
      <c r="Z206">
        <v>258</v>
      </c>
      <c r="AA206" t="s">
        <v>81</v>
      </c>
      <c r="AB206" t="s">
        <v>82</v>
      </c>
      <c r="AC206">
        <v>2</v>
      </c>
      <c r="AG206" t="s">
        <v>43</v>
      </c>
      <c r="AH206" t="s">
        <v>44</v>
      </c>
      <c r="AI206" t="s">
        <v>77</v>
      </c>
      <c r="AJ206">
        <v>6.1144567118772992E-3</v>
      </c>
    </row>
    <row r="207" spans="1:36" x14ac:dyDescent="0.3">
      <c r="A207" t="s">
        <v>72</v>
      </c>
      <c r="B207">
        <v>2025</v>
      </c>
      <c r="C207">
        <v>3</v>
      </c>
      <c r="D207" t="s">
        <v>91</v>
      </c>
      <c r="E207" t="s">
        <v>95</v>
      </c>
      <c r="F207" t="s">
        <v>50</v>
      </c>
      <c r="H207" t="s">
        <v>51</v>
      </c>
      <c r="I207" t="s">
        <v>84</v>
      </c>
      <c r="J207" t="s">
        <v>32</v>
      </c>
      <c r="L207">
        <v>2024</v>
      </c>
      <c r="M207" t="s">
        <v>34</v>
      </c>
      <c r="N207" t="s">
        <v>35</v>
      </c>
      <c r="O207">
        <v>127160</v>
      </c>
      <c r="P207" t="s">
        <v>36</v>
      </c>
      <c r="Q207" t="s">
        <v>37</v>
      </c>
      <c r="R207">
        <v>1</v>
      </c>
      <c r="S207" t="s">
        <v>38</v>
      </c>
      <c r="T207" t="s">
        <v>52</v>
      </c>
      <c r="V207" t="s">
        <v>40</v>
      </c>
      <c r="W207" t="s">
        <v>41</v>
      </c>
      <c r="X207" t="s">
        <v>43</v>
      </c>
      <c r="Y207" t="s">
        <v>44</v>
      </c>
      <c r="Z207">
        <v>258</v>
      </c>
      <c r="AA207" t="s">
        <v>81</v>
      </c>
      <c r="AB207" t="s">
        <v>82</v>
      </c>
      <c r="AC207">
        <v>3</v>
      </c>
      <c r="AG207" t="s">
        <v>43</v>
      </c>
      <c r="AH207" t="s">
        <v>44</v>
      </c>
      <c r="AI207" t="s">
        <v>77</v>
      </c>
      <c r="AJ207">
        <v>6.9160162542765101E-3</v>
      </c>
    </row>
    <row r="208" spans="1:36" x14ac:dyDescent="0.3">
      <c r="A208" t="s">
        <v>72</v>
      </c>
      <c r="B208">
        <v>2025</v>
      </c>
      <c r="C208">
        <v>3</v>
      </c>
      <c r="D208" t="s">
        <v>91</v>
      </c>
      <c r="E208" t="s">
        <v>95</v>
      </c>
      <c r="F208" t="s">
        <v>50</v>
      </c>
      <c r="H208" t="s">
        <v>51</v>
      </c>
      <c r="I208" t="s">
        <v>84</v>
      </c>
      <c r="J208" t="s">
        <v>32</v>
      </c>
      <c r="L208">
        <v>2024</v>
      </c>
      <c r="M208" t="s">
        <v>34</v>
      </c>
      <c r="N208" t="s">
        <v>35</v>
      </c>
      <c r="O208">
        <v>127160</v>
      </c>
      <c r="P208" t="s">
        <v>36</v>
      </c>
      <c r="Q208" t="s">
        <v>37</v>
      </c>
      <c r="R208">
        <v>1</v>
      </c>
      <c r="S208" t="s">
        <v>38</v>
      </c>
      <c r="T208" t="s">
        <v>52</v>
      </c>
      <c r="V208" t="s">
        <v>40</v>
      </c>
      <c r="W208" t="s">
        <v>41</v>
      </c>
      <c r="X208" t="s">
        <v>43</v>
      </c>
      <c r="Y208" t="s">
        <v>44</v>
      </c>
      <c r="Z208">
        <v>258</v>
      </c>
      <c r="AA208" t="s">
        <v>81</v>
      </c>
      <c r="AB208" t="s">
        <v>82</v>
      </c>
      <c r="AC208">
        <v>4</v>
      </c>
      <c r="AG208" t="s">
        <v>43</v>
      </c>
      <c r="AH208" t="s">
        <v>44</v>
      </c>
      <c r="AI208" t="s">
        <v>77</v>
      </c>
      <c r="AJ208">
        <v>7.4743746738224134E-3</v>
      </c>
    </row>
    <row r="209" spans="1:36" x14ac:dyDescent="0.3">
      <c r="A209" t="s">
        <v>72</v>
      </c>
      <c r="B209">
        <v>2025</v>
      </c>
      <c r="C209">
        <v>3</v>
      </c>
      <c r="D209" t="s">
        <v>91</v>
      </c>
      <c r="E209" t="s">
        <v>95</v>
      </c>
      <c r="F209" t="s">
        <v>50</v>
      </c>
      <c r="H209" t="s">
        <v>51</v>
      </c>
      <c r="I209" t="s">
        <v>84</v>
      </c>
      <c r="J209" t="s">
        <v>32</v>
      </c>
      <c r="L209">
        <v>2024</v>
      </c>
      <c r="M209" t="s">
        <v>34</v>
      </c>
      <c r="N209" t="s">
        <v>35</v>
      </c>
      <c r="O209">
        <v>127160</v>
      </c>
      <c r="P209" t="s">
        <v>36</v>
      </c>
      <c r="Q209" t="s">
        <v>37</v>
      </c>
      <c r="R209">
        <v>1</v>
      </c>
      <c r="S209" t="s">
        <v>38</v>
      </c>
      <c r="T209" t="s">
        <v>52</v>
      </c>
      <c r="V209" t="s">
        <v>40</v>
      </c>
      <c r="W209" t="s">
        <v>41</v>
      </c>
      <c r="X209" t="s">
        <v>43</v>
      </c>
      <c r="Y209" t="s">
        <v>44</v>
      </c>
      <c r="Z209">
        <v>258</v>
      </c>
      <c r="AA209" t="s">
        <v>81</v>
      </c>
      <c r="AB209" t="s">
        <v>82</v>
      </c>
      <c r="AC209">
        <v>5</v>
      </c>
      <c r="AG209" t="s">
        <v>43</v>
      </c>
      <c r="AH209" t="s">
        <v>44</v>
      </c>
      <c r="AI209" t="s">
        <v>77</v>
      </c>
      <c r="AJ209">
        <v>8.3492896233372631E-3</v>
      </c>
    </row>
    <row r="210" spans="1:36" x14ac:dyDescent="0.3">
      <c r="A210" t="s">
        <v>72</v>
      </c>
      <c r="B210">
        <v>2025</v>
      </c>
      <c r="C210">
        <v>3</v>
      </c>
      <c r="D210" t="s">
        <v>91</v>
      </c>
      <c r="E210" t="s">
        <v>95</v>
      </c>
      <c r="F210" t="s">
        <v>50</v>
      </c>
      <c r="H210" t="s">
        <v>51</v>
      </c>
      <c r="I210" t="s">
        <v>84</v>
      </c>
      <c r="J210" t="s">
        <v>32</v>
      </c>
      <c r="L210">
        <v>2024</v>
      </c>
      <c r="M210" t="s">
        <v>34</v>
      </c>
      <c r="N210" t="s">
        <v>35</v>
      </c>
      <c r="O210">
        <v>127160</v>
      </c>
      <c r="P210" t="s">
        <v>36</v>
      </c>
      <c r="Q210" t="s">
        <v>37</v>
      </c>
      <c r="R210">
        <v>1</v>
      </c>
      <c r="S210" t="s">
        <v>38</v>
      </c>
      <c r="T210" t="s">
        <v>52</v>
      </c>
      <c r="V210" t="s">
        <v>40</v>
      </c>
      <c r="W210" t="s">
        <v>41</v>
      </c>
      <c r="X210" t="s">
        <v>43</v>
      </c>
      <c r="Y210" t="s">
        <v>44</v>
      </c>
      <c r="Z210">
        <v>258</v>
      </c>
      <c r="AA210" t="s">
        <v>81</v>
      </c>
      <c r="AB210" t="s">
        <v>82</v>
      </c>
      <c r="AC210">
        <v>6</v>
      </c>
      <c r="AG210" t="s">
        <v>43</v>
      </c>
      <c r="AH210" t="s">
        <v>44</v>
      </c>
      <c r="AI210" t="s">
        <v>77</v>
      </c>
      <c r="AJ210">
        <v>9.8292469555517105E-3</v>
      </c>
    </row>
    <row r="211" spans="1:36" x14ac:dyDescent="0.3">
      <c r="A211" t="s">
        <v>72</v>
      </c>
      <c r="B211">
        <v>2025</v>
      </c>
      <c r="C211">
        <v>3</v>
      </c>
      <c r="D211" t="s">
        <v>91</v>
      </c>
      <c r="E211" t="s">
        <v>95</v>
      </c>
      <c r="F211" t="s">
        <v>50</v>
      </c>
      <c r="H211" t="s">
        <v>51</v>
      </c>
      <c r="I211" t="s">
        <v>84</v>
      </c>
      <c r="J211" t="s">
        <v>32</v>
      </c>
      <c r="L211">
        <v>2024</v>
      </c>
      <c r="M211" t="s">
        <v>34</v>
      </c>
      <c r="N211" t="s">
        <v>35</v>
      </c>
      <c r="O211">
        <v>127160</v>
      </c>
      <c r="P211" t="s">
        <v>36</v>
      </c>
      <c r="Q211" t="s">
        <v>37</v>
      </c>
      <c r="R211">
        <v>1</v>
      </c>
      <c r="S211" t="s">
        <v>38</v>
      </c>
      <c r="T211" t="s">
        <v>52</v>
      </c>
      <c r="V211" t="s">
        <v>40</v>
      </c>
      <c r="W211" t="s">
        <v>41</v>
      </c>
      <c r="X211" t="s">
        <v>43</v>
      </c>
      <c r="Y211" t="s">
        <v>44</v>
      </c>
      <c r="Z211">
        <v>258</v>
      </c>
      <c r="AA211" t="s">
        <v>81</v>
      </c>
      <c r="AB211" t="s">
        <v>82</v>
      </c>
      <c r="AC211">
        <v>7</v>
      </c>
      <c r="AG211" t="s">
        <v>43</v>
      </c>
      <c r="AH211" t="s">
        <v>44</v>
      </c>
      <c r="AI211" t="s">
        <v>77</v>
      </c>
      <c r="AJ211">
        <v>9.9092977904625713E-3</v>
      </c>
    </row>
    <row r="214" spans="1:36" s="2" customFormat="1" x14ac:dyDescent="0.3">
      <c r="A214" s="6" t="s">
        <v>0</v>
      </c>
      <c r="B214" s="6" t="s">
        <v>8</v>
      </c>
      <c r="C214" s="6" t="s">
        <v>1</v>
      </c>
      <c r="D214" s="6" t="s">
        <v>2</v>
      </c>
      <c r="E214" s="6" t="s">
        <v>61</v>
      </c>
      <c r="F214" s="6" t="s">
        <v>62</v>
      </c>
      <c r="G214" s="6" t="s">
        <v>63</v>
      </c>
      <c r="H214" s="6" t="s">
        <v>11</v>
      </c>
      <c r="I214" s="6" t="s">
        <v>12</v>
      </c>
      <c r="J214" s="6" t="s">
        <v>56</v>
      </c>
      <c r="K214" s="6" t="s">
        <v>55</v>
      </c>
      <c r="L214" s="6" t="s">
        <v>29</v>
      </c>
    </row>
    <row r="215" spans="1:36" s="5" customFormat="1" x14ac:dyDescent="0.3">
      <c r="A215" t="s">
        <v>80</v>
      </c>
      <c r="B215">
        <v>2025</v>
      </c>
      <c r="C215">
        <v>1</v>
      </c>
      <c r="D215" t="s">
        <v>91</v>
      </c>
      <c r="E215" t="s">
        <v>90</v>
      </c>
      <c r="F215" t="s">
        <v>50</v>
      </c>
      <c r="G215" t="s">
        <v>34</v>
      </c>
      <c r="H215" t="s">
        <v>35</v>
      </c>
      <c r="I215">
        <v>127160</v>
      </c>
      <c r="J215" t="s">
        <v>60</v>
      </c>
      <c r="K215" t="s">
        <v>73</v>
      </c>
    </row>
    <row r="216" spans="1:36" s="5" customFormat="1" x14ac:dyDescent="0.3">
      <c r="A216" t="s">
        <v>80</v>
      </c>
      <c r="B216">
        <v>2025</v>
      </c>
      <c r="C216">
        <v>1</v>
      </c>
      <c r="D216" t="s">
        <v>91</v>
      </c>
      <c r="E216" t="s">
        <v>90</v>
      </c>
      <c r="F216" t="s">
        <v>78</v>
      </c>
      <c r="G216" t="s">
        <v>34</v>
      </c>
      <c r="H216" t="s">
        <v>35</v>
      </c>
      <c r="I216">
        <v>127160</v>
      </c>
      <c r="J216" t="s">
        <v>60</v>
      </c>
      <c r="K216" t="s">
        <v>73</v>
      </c>
    </row>
    <row r="217" spans="1:36" x14ac:dyDescent="0.3">
      <c r="A217" t="s">
        <v>80</v>
      </c>
      <c r="B217">
        <v>2025</v>
      </c>
      <c r="C217">
        <v>1</v>
      </c>
      <c r="D217" t="s">
        <v>91</v>
      </c>
      <c r="E217" t="s">
        <v>90</v>
      </c>
      <c r="F217" t="s">
        <v>79</v>
      </c>
      <c r="G217" t="s">
        <v>34</v>
      </c>
      <c r="H217" t="s">
        <v>35</v>
      </c>
      <c r="I217">
        <v>127160</v>
      </c>
      <c r="J217" t="s">
        <v>60</v>
      </c>
      <c r="K217" t="s">
        <v>73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74D3-6A2E-45DA-8C5C-283029208C79}">
  <dimension ref="A1:G5"/>
  <sheetViews>
    <sheetView zoomScale="90" zoomScaleNormal="90" workbookViewId="0">
      <selection activeCell="D14" sqref="D14"/>
    </sheetView>
  </sheetViews>
  <sheetFormatPr defaultRowHeight="14.4" x14ac:dyDescent="0.3"/>
  <cols>
    <col min="1" max="1" width="12.33203125" customWidth="1"/>
    <col min="2" max="2" width="37" customWidth="1"/>
    <col min="3" max="3" width="39.5546875" customWidth="1"/>
    <col min="4" max="4" width="31" customWidth="1"/>
    <col min="5" max="5" width="28.109375" customWidth="1"/>
    <col min="6" max="6" width="42.109375" customWidth="1"/>
    <col min="7" max="7" width="34.6640625" bestFit="1" customWidth="1"/>
  </cols>
  <sheetData>
    <row r="1" spans="1:7" x14ac:dyDescent="0.3">
      <c r="A1" s="11" t="s">
        <v>1</v>
      </c>
      <c r="B1" s="11" t="s">
        <v>2</v>
      </c>
      <c r="C1" s="11" t="s">
        <v>92</v>
      </c>
      <c r="D1" s="11" t="s">
        <v>3</v>
      </c>
      <c r="E1" s="15" t="s">
        <v>93</v>
      </c>
      <c r="F1" s="15"/>
      <c r="G1" s="11" t="s">
        <v>61</v>
      </c>
    </row>
    <row r="2" spans="1:7" x14ac:dyDescent="0.3">
      <c r="A2" s="12"/>
      <c r="B2" s="12"/>
      <c r="C2" s="12"/>
      <c r="D2" s="12"/>
      <c r="E2" s="8" t="s">
        <v>36</v>
      </c>
      <c r="F2" s="8" t="s">
        <v>53</v>
      </c>
      <c r="G2" s="12"/>
    </row>
    <row r="3" spans="1:7" ht="28.8" x14ac:dyDescent="0.3">
      <c r="A3" s="9">
        <v>1</v>
      </c>
      <c r="B3" s="9" t="s">
        <v>31</v>
      </c>
      <c r="C3" s="10" t="s">
        <v>107</v>
      </c>
      <c r="D3" s="9" t="s">
        <v>49</v>
      </c>
      <c r="E3" s="9" t="s">
        <v>104</v>
      </c>
      <c r="F3" s="10" t="s">
        <v>105</v>
      </c>
      <c r="G3" s="9" t="s">
        <v>49</v>
      </c>
    </row>
    <row r="4" spans="1:7" ht="28.95" customHeight="1" x14ac:dyDescent="0.3">
      <c r="A4" s="9">
        <v>2</v>
      </c>
      <c r="B4" s="9" t="s">
        <v>97</v>
      </c>
      <c r="C4" s="10" t="s">
        <v>108</v>
      </c>
      <c r="D4" s="9" t="s">
        <v>90</v>
      </c>
      <c r="E4" s="13" t="s">
        <v>94</v>
      </c>
      <c r="F4" s="14"/>
      <c r="G4" s="9" t="s">
        <v>49</v>
      </c>
    </row>
    <row r="5" spans="1:7" ht="28.8" x14ac:dyDescent="0.3">
      <c r="A5" s="9">
        <v>3</v>
      </c>
      <c r="B5" s="9" t="s">
        <v>91</v>
      </c>
      <c r="C5" s="9" t="s">
        <v>94</v>
      </c>
      <c r="D5" s="9" t="s">
        <v>49</v>
      </c>
      <c r="E5" s="9" t="s">
        <v>104</v>
      </c>
      <c r="F5" s="10" t="s">
        <v>106</v>
      </c>
      <c r="G5" s="9" t="s">
        <v>95</v>
      </c>
    </row>
  </sheetData>
  <mergeCells count="7">
    <mergeCell ref="G1:G2"/>
    <mergeCell ref="E4:F4"/>
    <mergeCell ref="E1:F1"/>
    <mergeCell ref="A1:A2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FF0B65-802B-40A4-A61D-B1FCE4F49D2E}">
  <ds:schemaRefs>
    <ds:schemaRef ds:uri="9a657112-7d30-43e0-84e9-071e428c6b6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D651DB0-5FAF-4211-84FC-7318E0F4F2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A0B7BC-E4D7-4E7B-BB81-FF3198B40F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fc779b-f538-40f6-84d8-558ceb9d1abd}" enabled="0" method="" siteId="{3cfc779b-f538-40f6-84d8-558ceb9d1a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CAR_CAS_BMS</vt:lpstr>
      <vt:lpstr>DAR_DAS_BMS</vt:lpstr>
      <vt:lpstr>CAR_CAS_version1</vt:lpstr>
      <vt:lpstr>DAR_DAS_version1</vt:lpstr>
      <vt:lpstr>CAR_CAS_version2</vt:lpstr>
      <vt:lpstr>DAR_DAS_version2</vt:lpstr>
      <vt:lpstr>CAR_CAS_version3</vt:lpstr>
      <vt:lpstr>DAR_DAS_version3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Kirsten Birch Håkansson</cp:lastModifiedBy>
  <dcterms:created xsi:type="dcterms:W3CDTF">2026-09-28T13:31:04Z</dcterms:created>
  <dcterms:modified xsi:type="dcterms:W3CDTF">2026-10-16T13:19:16Z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