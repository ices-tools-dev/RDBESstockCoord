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esit.sharepoint.com/sites/ExpertGroup/WGRDBES-StockCoord/2026 Meeting Documents/04. Working documents/Allocations/"/>
    </mc:Choice>
  </mc:AlternateContent>
  <xr:revisionPtr revIDLastSave="55" documentId="8_{FBABB888-5ECB-4A41-ABF5-73974C952AF6}" xr6:coauthVersionLast="47" xr6:coauthVersionMax="47" xr10:uidLastSave="{6266BF3E-78B7-4D4B-95F2-BBC98ABB6786}"/>
  <bookViews>
    <workbookView xWindow="28680" yWindow="-120" windowWidth="29040" windowHeight="17520" tabRatio="702" firstSheet="1" activeTab="1" xr2:uid="{CE057CAA-2841-457C-BC91-DAD7E59A544C}"/>
  </bookViews>
  <sheets>
    <sheet name="work_flow" sheetId="8" r:id="rId1"/>
    <sheet name="catch_allo_detailed" sheetId="2" r:id="rId2"/>
    <sheet name="catch_allo_simple" sheetId="9" r:id="rId3"/>
    <sheet name="distribution_allo_detailed" sheetId="3" r:id="rId4"/>
    <sheet name="distribution_allo_simple" sheetId="7" r:id="rId5"/>
  </sheets>
  <definedNames>
    <definedName name="_xlnm._FilterDatabase" localSheetId="1" hidden="1">catch_allo_detailed!$A$62:$AN$65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M65" i="2" l="1"/>
  <c r="AN65" i="2" s="1"/>
  <c r="AM64" i="2"/>
  <c r="AN64" i="2" s="1"/>
  <c r="AM63" i="2"/>
  <c r="AN63" i="2" s="1"/>
  <c r="AA16" i="3"/>
  <c r="AA2" i="3"/>
</calcChain>
</file>

<file path=xl/sharedStrings.xml><?xml version="1.0" encoding="utf-8"?>
<sst xmlns="http://schemas.openxmlformats.org/spreadsheetml/2006/main" count="6330" uniqueCount="154">
  <si>
    <t>Number of rows</t>
  </si>
  <si>
    <t>'Only allocation' solution</t>
  </si>
  <si>
    <t>Full coverage' solution</t>
  </si>
  <si>
    <t>Discard imported</t>
  </si>
  <si>
    <t>If imported records are included, then we have everything stored in the same table, which makes checking much more easy. The object is also a good candidate for futher work</t>
  </si>
  <si>
    <t>Discard allocated</t>
  </si>
  <si>
    <t>If the only pupose is to store the allocations done, then it should be enough with these lines</t>
  </si>
  <si>
    <t>Landings imported, with associated discard</t>
  </si>
  <si>
    <t>Landings imported, without associated discard</t>
  </si>
  <si>
    <t>CEF</t>
  </si>
  <si>
    <t>CN</t>
  </si>
  <si>
    <t>DN</t>
  </si>
  <si>
    <t>Catch allocation</t>
  </si>
  <si>
    <t>SCF</t>
  </si>
  <si>
    <t>CNA</t>
  </si>
  <si>
    <t>Intermediate result that will be used in the next step</t>
  </si>
  <si>
    <t>Biology allocation</t>
  </si>
  <si>
    <t>join CNA with DN</t>
  </si>
  <si>
    <t>combine CN and CNA join with DN</t>
  </si>
  <si>
    <t>allocate</t>
  </si>
  <si>
    <t>Intermediate result that shows everything</t>
  </si>
  <si>
    <t>summarise</t>
  </si>
  <si>
    <t>CC</t>
  </si>
  <si>
    <t>DC</t>
  </si>
  <si>
    <t>recordType</t>
  </si>
  <si>
    <t>version</t>
  </si>
  <si>
    <t>imported</t>
  </si>
  <si>
    <t>vesselFlagCountry</t>
  </si>
  <si>
    <t>calendarYear</t>
  </si>
  <si>
    <t>yearStartDate</t>
  </si>
  <si>
    <t>year</t>
  </si>
  <si>
    <t>workingGroup</t>
  </si>
  <si>
    <t>stock</t>
  </si>
  <si>
    <t>speciesCode</t>
  </si>
  <si>
    <t>catchCategory</t>
  </si>
  <si>
    <t>seasonType</t>
  </si>
  <si>
    <t>seasonValue</t>
  </si>
  <si>
    <t>areaType</t>
  </si>
  <si>
    <t>areaValue</t>
  </si>
  <si>
    <t>fisheriesManagementUnit</t>
  </si>
  <si>
    <t>metier6</t>
  </si>
  <si>
    <t>fleetType</t>
  </si>
  <si>
    <t>fleetValue</t>
  </si>
  <si>
    <t>domainCatchDis</t>
  </si>
  <si>
    <t>domainCatchBMS</t>
  </si>
  <si>
    <t>originType</t>
  </si>
  <si>
    <t>variableType</t>
  </si>
  <si>
    <t>variableUnit</t>
  </si>
  <si>
    <t>total</t>
  </si>
  <si>
    <t>variance</t>
  </si>
  <si>
    <t>PSU</t>
  </si>
  <si>
    <t>numPSUs</t>
  </si>
  <si>
    <t>numTrips</t>
  </si>
  <si>
    <t>comment</t>
  </si>
  <si>
    <t>weightingCategory</t>
  </si>
  <si>
    <t>weightingParameter</t>
  </si>
  <si>
    <t>averagingMethod</t>
  </si>
  <si>
    <t>weightingTotal</t>
  </si>
  <si>
    <t>M</t>
  </si>
  <si>
    <t>domainBiology</t>
  </si>
  <si>
    <t>Y</t>
  </si>
  <si>
    <t>GB-ENG</t>
  </si>
  <si>
    <t>WGCSE</t>
  </si>
  <si>
    <t>sol.27.7fg</t>
  </si>
  <si>
    <t>Dis</t>
  </si>
  <si>
    <t>Quarter</t>
  </si>
  <si>
    <t>ICESArea</t>
  </si>
  <si>
    <t>27.7.f</t>
  </si>
  <si>
    <t>TBB_DEF_70-99_0_0</t>
  </si>
  <si>
    <t>Fleet</t>
  </si>
  <si>
    <t>TBB_DEF_70-99_0_0_all</t>
  </si>
  <si>
    <t>1_27.7.f_TBB_DEF_70-99_0_0_all</t>
  </si>
  <si>
    <t>WGEstimate</t>
  </si>
  <si>
    <t>WeightLive</t>
  </si>
  <si>
    <t>kg</t>
  </si>
  <si>
    <t>fishingtrip</t>
  </si>
  <si>
    <t>2</t>
  </si>
  <si>
    <t>BE</t>
  </si>
  <si>
    <t>Year</t>
  </si>
  <si>
    <t>27.7.f;27.7.g</t>
  </si>
  <si>
    <t>2025_All_TBB_DEF_70-99_0_0_all</t>
  </si>
  <si>
    <t>8</t>
  </si>
  <si>
    <t>stock_annex</t>
  </si>
  <si>
    <t>G1</t>
  </si>
  <si>
    <t>N</t>
  </si>
  <si>
    <t>TBB_DEF_&gt;=120_0_0</t>
  </si>
  <si>
    <t>TBB_DEF_&gt;=120_0_0_all</t>
  </si>
  <si>
    <t>27.7.g</t>
  </si>
  <si>
    <t>Lan</t>
  </si>
  <si>
    <t>stock_annex_manual</t>
  </si>
  <si>
    <t>2025_stock_annex</t>
  </si>
  <si>
    <t>weighted</t>
  </si>
  <si>
    <t>2025_stock_annex_v2</t>
  </si>
  <si>
    <t xml:space="preserve">workingGroup </t>
  </si>
  <si>
    <t>distributionType</t>
  </si>
  <si>
    <t>distributionUnit</t>
  </si>
  <si>
    <t>distributionClass</t>
  </si>
  <si>
    <t>ageGroupPlus</t>
  </si>
  <si>
    <t>attributeType</t>
  </si>
  <si>
    <t>attibuteValue</t>
  </si>
  <si>
    <t>valueType</t>
  </si>
  <si>
    <t>value</t>
  </si>
  <si>
    <t>numMeasurements</t>
  </si>
  <si>
    <t>ZW</t>
  </si>
  <si>
    <t>WGNEPH</t>
  </si>
  <si>
    <t>nep.fu.2021</t>
  </si>
  <si>
    <t>27.7.f, 27.7.g, 27.7.h, 27.7.j</t>
  </si>
  <si>
    <t>FU.20-21</t>
  </si>
  <si>
    <t>OTB_CRU_70-99_0_0</t>
  </si>
  <si>
    <t>Q1-FU2021-OTB_CRU_70-99_0_0</t>
  </si>
  <si>
    <t>t</t>
  </si>
  <si>
    <t xml:space="preserve"> LengthCarapace</t>
  </si>
  <si>
    <t>mm</t>
  </si>
  <si>
    <t>Number</t>
  </si>
  <si>
    <t>NE3</t>
  </si>
  <si>
    <t>Total</t>
  </si>
  <si>
    <t>fishing trip</t>
  </si>
  <si>
    <t>Mean</t>
  </si>
  <si>
    <t>Q3-FU2021-OTB_CRU_70-99_0_0</t>
  </si>
  <si>
    <t>Q3-FU2021-OTB_CRU_70-99_0_1</t>
  </si>
  <si>
    <t>Q3-FU2021-OTB_CRU_70-99_0_2</t>
  </si>
  <si>
    <t>Q3-FU2021-OTB_CRU_70-99_0_3</t>
  </si>
  <si>
    <t>Q3-FU2021-OTB_CRU_70-99_0_4</t>
  </si>
  <si>
    <t>Q3-FU2021-OTB_CRU_70-99_0_5</t>
  </si>
  <si>
    <t>Q3-FU2021-OTB_CRU_70-99_0_6</t>
  </si>
  <si>
    <t>Q3-FU2021-OTB_CRU_70-99_0_7</t>
  </si>
  <si>
    <t>Q3-FU2021-OTB_CRU_70-99_0_8</t>
  </si>
  <si>
    <t>Q3-FU2021-OTB_CRU_70-99_0_9</t>
  </si>
  <si>
    <t>Q3-FU2021-OTB_CRU_70-99_0_10</t>
  </si>
  <si>
    <t>Q3-FU2021-OTB_CRU_70-99_0_11</t>
  </si>
  <si>
    <t>Q3-FU2021-OTB_CRU_70-99_0_12</t>
  </si>
  <si>
    <t>Q3-FU2021-OTB_CRU_70-99_0_13</t>
  </si>
  <si>
    <t>Q3-FU2021-OTB_CRU_70-99_0_14</t>
  </si>
  <si>
    <t>Q3-FU2021-OTB_CRU_70-99_0_15</t>
  </si>
  <si>
    <t>Q3-FU2021-OTB_CRU_70-99_0_16</t>
  </si>
  <si>
    <t>Q3-FU2021-OTB_CRU_70-99_0_17</t>
  </si>
  <si>
    <t>Q3-FU2021-OTB_CRU_70-99_0_18</t>
  </si>
  <si>
    <t>Q3-FU2021-OTB_CRU_70-99_0_19</t>
  </si>
  <si>
    <t>distributionAllocationSchemeName</t>
  </si>
  <si>
    <t>catchAllocationSchemeName</t>
  </si>
  <si>
    <t>catchAllocationGroupName</t>
  </si>
  <si>
    <t>distributionAllocationGroupName</t>
  </si>
  <si>
    <t>versionDescription</t>
  </si>
  <si>
    <t>only applying english samples to English data</t>
  </si>
  <si>
    <t>yearData</t>
  </si>
  <si>
    <t>totalvariableType</t>
  </si>
  <si>
    <t>totalvariableUnit</t>
  </si>
  <si>
    <t>distributionvariableType</t>
  </si>
  <si>
    <t>distributionvariableUnit</t>
  </si>
  <si>
    <t>rate</t>
  </si>
  <si>
    <t>CAR</t>
  </si>
  <si>
    <t>CAS</t>
  </si>
  <si>
    <t>DAR</t>
  </si>
  <si>
    <t>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</si>
</sst>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474747"/>
      <name val="Arial"/>
      <family val="2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5"/>
        <bgColor theme="9" tint="0.79998168889431442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theme="9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39997558519241921"/>
        <bgColor theme="9" tint="0.79998168889431442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theme="9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9" tint="0.79998168889431442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9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/>
    <xf numFmtId="0" fontId="0" fillId="3" borderId="1" xfId="0" applyFill="1" applyBorder="1"/>
    <xf numFmtId="0" fontId="0" fillId="4" borderId="0" xfId="0" applyFill="1"/>
    <xf numFmtId="0" fontId="0" fillId="4" borderId="1" xfId="0" applyFill="1" applyBorder="1"/>
    <xf numFmtId="0" fontId="0" fillId="5" borderId="1" xfId="0" applyFill="1" applyBorder="1"/>
    <xf numFmtId="0" fontId="0" fillId="6" borderId="0" xfId="0" applyFill="1"/>
    <xf numFmtId="0" fontId="0" fillId="6" borderId="1" xfId="0" applyFill="1" applyBorder="1"/>
    <xf numFmtId="0" fontId="0" fillId="9" borderId="1" xfId="0" applyFill="1" applyBorder="1"/>
    <xf numFmtId="0" fontId="0" fillId="10" borderId="0" xfId="0" applyFill="1"/>
    <xf numFmtId="0" fontId="0" fillId="10" borderId="1" xfId="0" applyFill="1" applyBorder="1"/>
    <xf numFmtId="0" fontId="0" fillId="11" borderId="1" xfId="0" applyFill="1" applyBorder="1"/>
    <xf numFmtId="0" fontId="0" fillId="12" borderId="0" xfId="0" applyFill="1"/>
    <xf numFmtId="0" fontId="0" fillId="12" borderId="1" xfId="0" applyFill="1" applyBorder="1"/>
    <xf numFmtId="0" fontId="0" fillId="0" borderId="2" xfId="0" applyBorder="1" applyAlignment="1">
      <alignment wrapText="1"/>
    </xf>
    <xf numFmtId="0" fontId="3" fillId="0" borderId="0" xfId="0" quotePrefix="1" applyFont="1" applyAlignment="1">
      <alignment horizontal="left" vertical="top" wrapText="1"/>
    </xf>
    <xf numFmtId="0" fontId="3" fillId="3" borderId="1" xfId="0" applyFont="1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2" fillId="0" borderId="0" xfId="0" applyFont="1"/>
    <xf numFmtId="0" fontId="3" fillId="0" borderId="0" xfId="0" quotePrefix="1" applyFont="1" applyAlignment="1">
      <alignment horizontal="left" vertical="top"/>
    </xf>
    <xf numFmtId="0" fontId="0" fillId="13" borderId="0" xfId="0" applyFill="1"/>
    <xf numFmtId="0" fontId="3" fillId="0" borderId="0" xfId="0" applyFont="1"/>
    <xf numFmtId="0" fontId="3" fillId="8" borderId="1" xfId="0" applyFont="1" applyFill="1" applyBorder="1" applyAlignment="1">
      <alignment wrapText="1"/>
    </xf>
    <xf numFmtId="0" fontId="4" fillId="4" borderId="0" xfId="0" applyFont="1" applyFill="1"/>
    <xf numFmtId="1" fontId="0" fillId="4" borderId="0" xfId="0" applyNumberFormat="1" applyFill="1"/>
    <xf numFmtId="0" fontId="4" fillId="6" borderId="0" xfId="0" applyFont="1" applyFill="1"/>
    <xf numFmtId="0" fontId="6" fillId="6" borderId="0" xfId="0" applyFont="1" applyFill="1"/>
    <xf numFmtId="1" fontId="0" fillId="6" borderId="0" xfId="0" applyNumberFormat="1" applyFill="1"/>
    <xf numFmtId="0" fontId="1" fillId="2" borderId="0" xfId="0" applyFont="1" applyFill="1"/>
    <xf numFmtId="0" fontId="1" fillId="2" borderId="6" xfId="0" applyFont="1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5" borderId="0" xfId="0" applyFill="1"/>
    <xf numFmtId="0" fontId="0" fillId="16" borderId="1" xfId="0" applyFill="1" applyBorder="1"/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935A6-0335-45B1-8740-C4882A542B27}">
  <dimension ref="A1:T30"/>
  <sheetViews>
    <sheetView workbookViewId="0">
      <selection activeCell="I19" sqref="I19"/>
    </sheetView>
  </sheetViews>
  <sheetFormatPr defaultRowHeight="14.4" x14ac:dyDescent="0.3"/>
  <cols>
    <col min="1" max="4" width="21.44140625" customWidth="1"/>
    <col min="6" max="6" width="10.88671875" customWidth="1"/>
    <col min="7" max="7" width="4.5546875" bestFit="1" customWidth="1"/>
    <col min="9" max="9" width="16.44140625" bestFit="1" customWidth="1"/>
    <col min="10" max="10" width="5" bestFit="1" customWidth="1"/>
    <col min="12" max="12" width="46.109375" bestFit="1" customWidth="1"/>
    <col min="15" max="15" width="4.5546875" bestFit="1" customWidth="1"/>
    <col min="18" max="18" width="11.5546875" customWidth="1"/>
  </cols>
  <sheetData>
    <row r="1" spans="1:18" x14ac:dyDescent="0.3">
      <c r="A1" s="23" t="s">
        <v>0</v>
      </c>
    </row>
    <row r="4" spans="1:18" ht="28.8" x14ac:dyDescent="0.3">
      <c r="A4" s="1"/>
      <c r="B4" s="1"/>
      <c r="C4" s="16" t="s">
        <v>1</v>
      </c>
      <c r="D4" s="21" t="s">
        <v>2</v>
      </c>
    </row>
    <row r="5" spans="1:18" ht="15" thickBot="1" x14ac:dyDescent="0.35">
      <c r="A5" s="17" t="s">
        <v>3</v>
      </c>
      <c r="B5" s="1"/>
      <c r="C5" s="1"/>
      <c r="D5" s="37" t="s">
        <v>4</v>
      </c>
    </row>
    <row r="6" spans="1:18" ht="58.2" thickBot="1" x14ac:dyDescent="0.35">
      <c r="A6" s="18" t="s">
        <v>5</v>
      </c>
      <c r="B6" s="1"/>
      <c r="C6" s="15" t="s">
        <v>6</v>
      </c>
      <c r="D6" s="38"/>
    </row>
    <row r="7" spans="1:18" ht="28.8" x14ac:dyDescent="0.3">
      <c r="A7" s="19" t="s">
        <v>7</v>
      </c>
      <c r="B7" s="1"/>
      <c r="C7" s="1"/>
      <c r="D7" s="38"/>
    </row>
    <row r="8" spans="1:18" ht="43.8" thickBot="1" x14ac:dyDescent="0.35">
      <c r="A8" s="24" t="s">
        <v>8</v>
      </c>
      <c r="B8" s="1"/>
      <c r="C8" s="1"/>
      <c r="D8" s="39"/>
    </row>
    <row r="13" spans="1:18" x14ac:dyDescent="0.3">
      <c r="F13" s="21" t="s">
        <v>2</v>
      </c>
      <c r="N13" s="21" t="s">
        <v>1</v>
      </c>
    </row>
    <row r="15" spans="1:18" x14ac:dyDescent="0.3">
      <c r="G15" t="s">
        <v>9</v>
      </c>
      <c r="I15" t="s">
        <v>10</v>
      </c>
      <c r="J15" t="s">
        <v>11</v>
      </c>
      <c r="O15" t="s">
        <v>9</v>
      </c>
      <c r="Q15" t="s">
        <v>10</v>
      </c>
      <c r="R15" t="s">
        <v>11</v>
      </c>
    </row>
    <row r="17" spans="7:20" x14ac:dyDescent="0.3">
      <c r="I17" t="s">
        <v>12</v>
      </c>
      <c r="Q17" t="s">
        <v>12</v>
      </c>
    </row>
    <row r="19" spans="7:20" x14ac:dyDescent="0.3">
      <c r="G19" t="s">
        <v>13</v>
      </c>
      <c r="I19" t="s">
        <v>14</v>
      </c>
      <c r="L19" t="s">
        <v>15</v>
      </c>
      <c r="O19" t="s">
        <v>13</v>
      </c>
      <c r="Q19" t="s">
        <v>14</v>
      </c>
      <c r="T19" t="s">
        <v>15</v>
      </c>
    </row>
    <row r="21" spans="7:20" x14ac:dyDescent="0.3">
      <c r="I21" t="s">
        <v>16</v>
      </c>
      <c r="Q21" t="s">
        <v>16</v>
      </c>
    </row>
    <row r="23" spans="7:20" x14ac:dyDescent="0.3">
      <c r="I23" t="s">
        <v>17</v>
      </c>
      <c r="Q23" t="s">
        <v>18</v>
      </c>
    </row>
    <row r="24" spans="7:20" x14ac:dyDescent="0.3">
      <c r="I24" t="s">
        <v>19</v>
      </c>
      <c r="Q24" t="s">
        <v>19</v>
      </c>
    </row>
    <row r="26" spans="7:20" x14ac:dyDescent="0.3">
      <c r="G26" t="s">
        <v>13</v>
      </c>
      <c r="J26" t="s">
        <v>152</v>
      </c>
      <c r="L26" t="s">
        <v>20</v>
      </c>
      <c r="O26" t="s">
        <v>13</v>
      </c>
      <c r="R26" t="s">
        <v>152</v>
      </c>
      <c r="T26" t="s">
        <v>20</v>
      </c>
    </row>
    <row r="28" spans="7:20" x14ac:dyDescent="0.3">
      <c r="I28" t="s">
        <v>21</v>
      </c>
      <c r="Q28" t="s">
        <v>21</v>
      </c>
    </row>
    <row r="30" spans="7:20" x14ac:dyDescent="0.3">
      <c r="G30" t="s">
        <v>13</v>
      </c>
      <c r="I30" t="s">
        <v>22</v>
      </c>
      <c r="J30" t="s">
        <v>23</v>
      </c>
      <c r="O30" t="s">
        <v>13</v>
      </c>
      <c r="Q30" t="s">
        <v>22</v>
      </c>
      <c r="R30" t="s">
        <v>23</v>
      </c>
    </row>
  </sheetData>
  <mergeCells count="1">
    <mergeCell ref="D5:D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19074-C80C-4832-9023-641898649E24}">
  <dimension ref="A1:LP65"/>
  <sheetViews>
    <sheetView tabSelected="1" zoomScale="80" zoomScaleNormal="80" workbookViewId="0">
      <selection activeCell="D35" sqref="D35"/>
    </sheetView>
  </sheetViews>
  <sheetFormatPr defaultRowHeight="14.4" x14ac:dyDescent="0.3"/>
  <cols>
    <col min="1" max="1" width="10.5546875" bestFit="1" customWidth="1"/>
    <col min="2" max="2" width="7.44140625" customWidth="1"/>
    <col min="3" max="3" width="39" bestFit="1" customWidth="1"/>
    <col min="4" max="4" width="27.6640625" bestFit="1" customWidth="1"/>
    <col min="5" max="5" width="25.6640625" bestFit="1" customWidth="1"/>
    <col min="6" max="6" width="9" bestFit="1" customWidth="1"/>
    <col min="7" max="7" width="9.33203125" customWidth="1"/>
    <col min="8" max="8" width="17.33203125" bestFit="1" customWidth="1"/>
    <col min="9" max="9" width="12.44140625" bestFit="1" customWidth="1"/>
    <col min="10" max="10" width="13.21875" bestFit="1" customWidth="1"/>
    <col min="11" max="11" width="5.44140625" bestFit="1" customWidth="1"/>
    <col min="12" max="13" width="13.21875" bestFit="1" customWidth="1"/>
    <col min="14" max="14" width="12.44140625" bestFit="1" customWidth="1"/>
    <col min="15" max="16" width="14" bestFit="1" customWidth="1"/>
    <col min="17" max="18" width="12.33203125" bestFit="1" customWidth="1"/>
    <col min="19" max="19" width="11.33203125" bestFit="1" customWidth="1"/>
    <col min="20" max="21" width="24.109375" bestFit="1" customWidth="1"/>
    <col min="22" max="22" width="18.77734375" bestFit="1" customWidth="1"/>
    <col min="23" max="23" width="22.109375" bestFit="1" customWidth="1"/>
    <col min="24" max="25" width="30" bestFit="1" customWidth="1"/>
    <col min="26" max="26" width="16.77734375" bestFit="1" customWidth="1"/>
    <col min="27" max="27" width="14" bestFit="1" customWidth="1"/>
    <col min="28" max="29" width="11.77734375" bestFit="1" customWidth="1"/>
    <col min="30" max="30" width="12.6640625" bestFit="1" customWidth="1"/>
    <col min="31" max="35" width="9.5546875" bestFit="1" customWidth="1"/>
    <col min="36" max="36" width="17.44140625" bestFit="1" customWidth="1"/>
    <col min="37" max="37" width="19" bestFit="1" customWidth="1"/>
    <col min="38" max="38" width="16.109375" bestFit="1" customWidth="1"/>
    <col min="39" max="39" width="13.88671875" bestFit="1" customWidth="1"/>
    <col min="40" max="40" width="12.6640625" bestFit="1" customWidth="1"/>
    <col min="41" max="41" width="9.5546875" bestFit="1" customWidth="1"/>
  </cols>
  <sheetData>
    <row r="1" spans="1:328" x14ac:dyDescent="0.3">
      <c r="A1" s="2" t="s">
        <v>24</v>
      </c>
      <c r="B1" s="2" t="s">
        <v>25</v>
      </c>
      <c r="C1" s="2" t="s">
        <v>142</v>
      </c>
      <c r="D1" s="2" t="s">
        <v>139</v>
      </c>
      <c r="E1" s="2" t="s">
        <v>140</v>
      </c>
      <c r="F1" s="2" t="s">
        <v>26</v>
      </c>
      <c r="G1" s="2"/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  <c r="Z1" s="2" t="s">
        <v>59</v>
      </c>
      <c r="AA1" s="2" t="s">
        <v>45</v>
      </c>
      <c r="AB1" s="2" t="s">
        <v>46</v>
      </c>
      <c r="AC1" s="2" t="s">
        <v>47</v>
      </c>
      <c r="AD1" s="2" t="s">
        <v>48</v>
      </c>
      <c r="AE1" s="2" t="s">
        <v>49</v>
      </c>
      <c r="AF1" s="2" t="s">
        <v>50</v>
      </c>
      <c r="AG1" s="2" t="s">
        <v>51</v>
      </c>
      <c r="AH1" s="2" t="s">
        <v>52</v>
      </c>
      <c r="AI1" s="2" t="s">
        <v>53</v>
      </c>
    </row>
    <row r="2" spans="1:328" s="4" customFormat="1" x14ac:dyDescent="0.3">
      <c r="A2" s="3" t="s">
        <v>150</v>
      </c>
      <c r="B2" s="3">
        <v>1</v>
      </c>
      <c r="C2" s="3" t="s">
        <v>82</v>
      </c>
      <c r="D2" s="3"/>
      <c r="E2" s="3"/>
      <c r="F2" s="3" t="s">
        <v>60</v>
      </c>
      <c r="G2" s="3"/>
      <c r="H2" s="3" t="s">
        <v>61</v>
      </c>
      <c r="I2" s="3" t="s">
        <v>60</v>
      </c>
      <c r="J2" s="3"/>
      <c r="K2" s="3">
        <v>2025</v>
      </c>
      <c r="L2" s="3" t="s">
        <v>62</v>
      </c>
      <c r="M2" s="3" t="s">
        <v>63</v>
      </c>
      <c r="N2" s="3">
        <v>127160</v>
      </c>
      <c r="O2" s="3" t="s">
        <v>64</v>
      </c>
      <c r="P2" s="3" t="s">
        <v>65</v>
      </c>
      <c r="Q2" s="3">
        <v>1</v>
      </c>
      <c r="R2" s="3" t="s">
        <v>66</v>
      </c>
      <c r="S2" s="3" t="s">
        <v>67</v>
      </c>
      <c r="T2" s="3"/>
      <c r="U2" s="3" t="s">
        <v>68</v>
      </c>
      <c r="V2" s="3" t="s">
        <v>69</v>
      </c>
      <c r="W2" s="3" t="s">
        <v>70</v>
      </c>
      <c r="X2" s="3" t="s">
        <v>71</v>
      </c>
      <c r="Y2" s="3"/>
      <c r="Z2" s="3"/>
      <c r="AA2" s="3" t="s">
        <v>72</v>
      </c>
      <c r="AB2" s="3" t="s">
        <v>73</v>
      </c>
      <c r="AC2" s="3" t="s">
        <v>74</v>
      </c>
      <c r="AD2" s="3">
        <v>5998.7539999999999</v>
      </c>
      <c r="AE2" s="3"/>
      <c r="AF2" s="3" t="s">
        <v>75</v>
      </c>
      <c r="AG2" s="3" t="s">
        <v>76</v>
      </c>
      <c r="AH2" s="3" t="s">
        <v>76</v>
      </c>
      <c r="AI2" s="3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</row>
    <row r="3" spans="1:328" s="4" customFormat="1" x14ac:dyDescent="0.3">
      <c r="A3" s="5" t="s">
        <v>150</v>
      </c>
      <c r="B3" s="5">
        <v>1</v>
      </c>
      <c r="C3" s="5" t="s">
        <v>82</v>
      </c>
      <c r="D3" s="3"/>
      <c r="E3" s="5"/>
      <c r="F3" s="5" t="s">
        <v>60</v>
      </c>
      <c r="G3" s="5"/>
      <c r="H3" s="5" t="s">
        <v>77</v>
      </c>
      <c r="I3" s="5" t="s">
        <v>60</v>
      </c>
      <c r="J3" s="5"/>
      <c r="K3" s="5">
        <v>2025</v>
      </c>
      <c r="L3" s="5" t="s">
        <v>62</v>
      </c>
      <c r="M3" s="5" t="s">
        <v>63</v>
      </c>
      <c r="N3" s="5">
        <v>127160</v>
      </c>
      <c r="O3" s="5" t="s">
        <v>64</v>
      </c>
      <c r="P3" s="5" t="s">
        <v>78</v>
      </c>
      <c r="Q3" s="5">
        <v>2025</v>
      </c>
      <c r="R3" s="5" t="s">
        <v>66</v>
      </c>
      <c r="S3" s="5" t="s">
        <v>79</v>
      </c>
      <c r="T3" s="5"/>
      <c r="U3" s="5" t="s">
        <v>68</v>
      </c>
      <c r="V3" s="5" t="s">
        <v>69</v>
      </c>
      <c r="W3" s="5" t="s">
        <v>70</v>
      </c>
      <c r="X3" s="5" t="s">
        <v>80</v>
      </c>
      <c r="Y3" s="5"/>
      <c r="Z3" s="5"/>
      <c r="AA3" s="5" t="s">
        <v>72</v>
      </c>
      <c r="AB3" s="5" t="s">
        <v>73</v>
      </c>
      <c r="AC3" s="5" t="s">
        <v>74</v>
      </c>
      <c r="AD3" s="5">
        <v>38354</v>
      </c>
      <c r="AE3" s="3"/>
      <c r="AF3" s="3" t="s">
        <v>75</v>
      </c>
      <c r="AG3" s="5" t="s">
        <v>81</v>
      </c>
      <c r="AH3" s="5" t="s">
        <v>81</v>
      </c>
      <c r="AI3" s="5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</row>
    <row r="4" spans="1:328" s="7" customFormat="1" x14ac:dyDescent="0.3">
      <c r="A4" s="6" t="s">
        <v>150</v>
      </c>
      <c r="B4" s="6">
        <v>1</v>
      </c>
      <c r="C4" s="6" t="s">
        <v>82</v>
      </c>
      <c r="D4" s="6" t="s">
        <v>82</v>
      </c>
      <c r="E4" s="6" t="s">
        <v>83</v>
      </c>
      <c r="F4" s="6" t="s">
        <v>84</v>
      </c>
      <c r="G4" s="6"/>
      <c r="H4" s="6" t="s">
        <v>61</v>
      </c>
      <c r="I4" s="6" t="s">
        <v>60</v>
      </c>
      <c r="J4" s="6"/>
      <c r="K4" s="6">
        <v>2025</v>
      </c>
      <c r="L4" s="6" t="s">
        <v>62</v>
      </c>
      <c r="M4" s="6" t="s">
        <v>63</v>
      </c>
      <c r="N4" s="6">
        <v>127160</v>
      </c>
      <c r="O4" s="6" t="s">
        <v>64</v>
      </c>
      <c r="P4" s="6" t="s">
        <v>65</v>
      </c>
      <c r="Q4" s="6">
        <v>1</v>
      </c>
      <c r="R4" s="6" t="s">
        <v>66</v>
      </c>
      <c r="S4" s="6" t="s">
        <v>67</v>
      </c>
      <c r="T4" s="6"/>
      <c r="U4" s="6" t="s">
        <v>85</v>
      </c>
      <c r="V4" s="6" t="s">
        <v>69</v>
      </c>
      <c r="W4" s="6" t="s">
        <v>86</v>
      </c>
      <c r="X4" s="6"/>
      <c r="Y4" s="6"/>
      <c r="Z4" s="6"/>
      <c r="AA4" s="6" t="s">
        <v>72</v>
      </c>
      <c r="AB4" s="6" t="s">
        <v>73</v>
      </c>
      <c r="AC4" s="6" t="s">
        <v>74</v>
      </c>
      <c r="AD4" s="6">
        <v>143.202865475951</v>
      </c>
      <c r="AE4" s="6"/>
      <c r="AF4" s="6"/>
      <c r="AG4" s="6"/>
      <c r="AH4" s="6"/>
      <c r="AI4" s="6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</row>
    <row r="5" spans="1:328" s="7" customFormat="1" x14ac:dyDescent="0.3">
      <c r="A5" s="8" t="s">
        <v>150</v>
      </c>
      <c r="B5" s="8">
        <v>1</v>
      </c>
      <c r="C5" s="6" t="s">
        <v>82</v>
      </c>
      <c r="D5" s="6" t="s">
        <v>82</v>
      </c>
      <c r="E5" s="8" t="s">
        <v>83</v>
      </c>
      <c r="F5" s="6" t="s">
        <v>84</v>
      </c>
      <c r="G5" s="6"/>
      <c r="H5" s="8" t="s">
        <v>61</v>
      </c>
      <c r="I5" s="6" t="s">
        <v>60</v>
      </c>
      <c r="J5" s="8"/>
      <c r="K5" s="8">
        <v>2025</v>
      </c>
      <c r="L5" s="8" t="s">
        <v>62</v>
      </c>
      <c r="M5" s="8" t="s">
        <v>63</v>
      </c>
      <c r="N5" s="8">
        <v>127160</v>
      </c>
      <c r="O5" s="8" t="s">
        <v>64</v>
      </c>
      <c r="P5" s="8" t="s">
        <v>65</v>
      </c>
      <c r="Q5" s="8">
        <v>1</v>
      </c>
      <c r="R5" s="8" t="s">
        <v>66</v>
      </c>
      <c r="S5" s="8" t="s">
        <v>87</v>
      </c>
      <c r="T5" s="8"/>
      <c r="U5" s="8" t="s">
        <v>68</v>
      </c>
      <c r="V5" s="8" t="s">
        <v>69</v>
      </c>
      <c r="W5" s="8" t="s">
        <v>70</v>
      </c>
      <c r="X5" s="8"/>
      <c r="Y5" s="8"/>
      <c r="Z5" s="8"/>
      <c r="AA5" s="8" t="s">
        <v>72</v>
      </c>
      <c r="AB5" s="8" t="s">
        <v>73</v>
      </c>
      <c r="AC5" s="8" t="s">
        <v>74</v>
      </c>
      <c r="AD5" s="8">
        <v>523.418731364515</v>
      </c>
      <c r="AE5" s="8"/>
      <c r="AF5" s="8"/>
      <c r="AG5" s="8"/>
      <c r="AH5" s="8"/>
      <c r="AI5" s="8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</row>
    <row r="6" spans="1:328" s="7" customFormat="1" x14ac:dyDescent="0.3">
      <c r="A6" s="6" t="s">
        <v>150</v>
      </c>
      <c r="B6" s="6">
        <v>1</v>
      </c>
      <c r="C6" s="6" t="s">
        <v>82</v>
      </c>
      <c r="D6" s="6" t="s">
        <v>82</v>
      </c>
      <c r="E6" s="6" t="s">
        <v>83</v>
      </c>
      <c r="F6" s="6" t="s">
        <v>84</v>
      </c>
      <c r="G6" s="6"/>
      <c r="H6" s="6" t="s">
        <v>61</v>
      </c>
      <c r="I6" s="6" t="s">
        <v>60</v>
      </c>
      <c r="J6" s="6"/>
      <c r="K6" s="6">
        <v>2025</v>
      </c>
      <c r="L6" s="6" t="s">
        <v>62</v>
      </c>
      <c r="M6" s="6" t="s">
        <v>63</v>
      </c>
      <c r="N6" s="6">
        <v>127160</v>
      </c>
      <c r="O6" s="6" t="s">
        <v>64</v>
      </c>
      <c r="P6" s="6" t="s">
        <v>65</v>
      </c>
      <c r="Q6" s="6">
        <v>2</v>
      </c>
      <c r="R6" s="6" t="s">
        <v>66</v>
      </c>
      <c r="S6" s="6" t="s">
        <v>67</v>
      </c>
      <c r="T6" s="6"/>
      <c r="U6" s="6" t="s">
        <v>85</v>
      </c>
      <c r="V6" s="6" t="s">
        <v>69</v>
      </c>
      <c r="W6" s="6" t="s">
        <v>86</v>
      </c>
      <c r="X6" s="6"/>
      <c r="Y6" s="6"/>
      <c r="Z6" s="6"/>
      <c r="AA6" s="6" t="s">
        <v>72</v>
      </c>
      <c r="AB6" s="6" t="s">
        <v>73</v>
      </c>
      <c r="AC6" s="6" t="s">
        <v>74</v>
      </c>
      <c r="AD6" s="6">
        <v>43.648271853696997</v>
      </c>
      <c r="AE6" s="6"/>
      <c r="AF6" s="6"/>
      <c r="AG6" s="6"/>
      <c r="AH6" s="6"/>
      <c r="AI6" s="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</row>
    <row r="7" spans="1:328" s="7" customFormat="1" x14ac:dyDescent="0.3">
      <c r="A7" s="8" t="s">
        <v>150</v>
      </c>
      <c r="B7" s="8">
        <v>1</v>
      </c>
      <c r="C7" s="6" t="s">
        <v>82</v>
      </c>
      <c r="D7" s="6" t="s">
        <v>82</v>
      </c>
      <c r="E7" s="8" t="s">
        <v>83</v>
      </c>
      <c r="F7" s="6" t="s">
        <v>84</v>
      </c>
      <c r="G7" s="6"/>
      <c r="H7" s="8" t="s">
        <v>61</v>
      </c>
      <c r="I7" s="6" t="s">
        <v>60</v>
      </c>
      <c r="J7" s="8"/>
      <c r="K7" s="8">
        <v>2025</v>
      </c>
      <c r="L7" s="8" t="s">
        <v>62</v>
      </c>
      <c r="M7" s="8" t="s">
        <v>63</v>
      </c>
      <c r="N7" s="8">
        <v>127160</v>
      </c>
      <c r="O7" s="8" t="s">
        <v>64</v>
      </c>
      <c r="P7" s="8" t="s">
        <v>65</v>
      </c>
      <c r="Q7" s="8">
        <v>2</v>
      </c>
      <c r="R7" s="8" t="s">
        <v>66</v>
      </c>
      <c r="S7" s="8" t="s">
        <v>67</v>
      </c>
      <c r="T7" s="8"/>
      <c r="U7" s="8" t="s">
        <v>68</v>
      </c>
      <c r="V7" s="8" t="s">
        <v>69</v>
      </c>
      <c r="W7" s="8" t="s">
        <v>70</v>
      </c>
      <c r="X7" s="8"/>
      <c r="Y7" s="8"/>
      <c r="Z7" s="8"/>
      <c r="AA7" s="8" t="s">
        <v>72</v>
      </c>
      <c r="AB7" s="8" t="s">
        <v>73</v>
      </c>
      <c r="AC7" s="8" t="s">
        <v>74</v>
      </c>
      <c r="AD7" s="8">
        <v>1819.45994532345</v>
      </c>
      <c r="AE7" s="8"/>
      <c r="AF7" s="8"/>
      <c r="AG7" s="8"/>
      <c r="AH7" s="8"/>
      <c r="AI7" s="8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</row>
    <row r="8" spans="1:328" s="7" customFormat="1" x14ac:dyDescent="0.3">
      <c r="A8" s="6" t="s">
        <v>150</v>
      </c>
      <c r="B8" s="6">
        <v>1</v>
      </c>
      <c r="C8" s="6" t="s">
        <v>82</v>
      </c>
      <c r="D8" s="6" t="s">
        <v>82</v>
      </c>
      <c r="E8" s="6" t="s">
        <v>83</v>
      </c>
      <c r="F8" s="6" t="s">
        <v>84</v>
      </c>
      <c r="G8" s="6"/>
      <c r="H8" s="6" t="s">
        <v>61</v>
      </c>
      <c r="I8" s="6" t="s">
        <v>60</v>
      </c>
      <c r="J8" s="6"/>
      <c r="K8" s="6">
        <v>2025</v>
      </c>
      <c r="L8" s="6" t="s">
        <v>62</v>
      </c>
      <c r="M8" s="6" t="s">
        <v>63</v>
      </c>
      <c r="N8" s="6">
        <v>127160</v>
      </c>
      <c r="O8" s="6" t="s">
        <v>64</v>
      </c>
      <c r="P8" s="6" t="s">
        <v>65</v>
      </c>
      <c r="Q8" s="6">
        <v>2</v>
      </c>
      <c r="R8" s="6" t="s">
        <v>66</v>
      </c>
      <c r="S8" s="6" t="s">
        <v>87</v>
      </c>
      <c r="T8" s="6"/>
      <c r="U8" s="6" t="s">
        <v>68</v>
      </c>
      <c r="V8" s="6" t="s">
        <v>69</v>
      </c>
      <c r="W8" s="6" t="s">
        <v>70</v>
      </c>
      <c r="X8" s="6"/>
      <c r="Y8" s="6"/>
      <c r="Z8" s="6"/>
      <c r="AA8" s="6" t="s">
        <v>72</v>
      </c>
      <c r="AB8" s="6" t="s">
        <v>73</v>
      </c>
      <c r="AC8" s="6" t="s">
        <v>74</v>
      </c>
      <c r="AD8" s="6">
        <v>206.82454807327201</v>
      </c>
      <c r="AE8" s="6"/>
      <c r="AF8" s="6"/>
      <c r="AG8" s="6"/>
      <c r="AH8" s="6"/>
      <c r="AI8" s="6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</row>
    <row r="9" spans="1:328" s="7" customFormat="1" x14ac:dyDescent="0.3">
      <c r="A9" s="8" t="s">
        <v>150</v>
      </c>
      <c r="B9" s="8">
        <v>1</v>
      </c>
      <c r="C9" s="6" t="s">
        <v>82</v>
      </c>
      <c r="D9" s="6" t="s">
        <v>82</v>
      </c>
      <c r="E9" s="8" t="s">
        <v>83</v>
      </c>
      <c r="F9" s="6" t="s">
        <v>84</v>
      </c>
      <c r="G9" s="6"/>
      <c r="H9" s="8" t="s">
        <v>61</v>
      </c>
      <c r="I9" s="6" t="s">
        <v>60</v>
      </c>
      <c r="J9" s="8"/>
      <c r="K9" s="8">
        <v>2025</v>
      </c>
      <c r="L9" s="8" t="s">
        <v>62</v>
      </c>
      <c r="M9" s="8" t="s">
        <v>63</v>
      </c>
      <c r="N9" s="8">
        <v>127160</v>
      </c>
      <c r="O9" s="8" t="s">
        <v>64</v>
      </c>
      <c r="P9" s="8" t="s">
        <v>65</v>
      </c>
      <c r="Q9" s="8">
        <v>3</v>
      </c>
      <c r="R9" s="8" t="s">
        <v>66</v>
      </c>
      <c r="S9" s="8" t="s">
        <v>67</v>
      </c>
      <c r="T9" s="8"/>
      <c r="U9" s="8" t="s">
        <v>68</v>
      </c>
      <c r="V9" s="8" t="s">
        <v>69</v>
      </c>
      <c r="W9" s="8" t="s">
        <v>70</v>
      </c>
      <c r="X9" s="8"/>
      <c r="Y9" s="8"/>
      <c r="Z9" s="8"/>
      <c r="AA9" s="8" t="s">
        <v>72</v>
      </c>
      <c r="AB9" s="8" t="s">
        <v>73</v>
      </c>
      <c r="AC9" s="8" t="s">
        <v>74</v>
      </c>
      <c r="AD9" s="8">
        <v>137.85258721899399</v>
      </c>
      <c r="AE9" s="8"/>
      <c r="AF9" s="8"/>
      <c r="AG9" s="8"/>
      <c r="AH9" s="8"/>
      <c r="AI9" s="8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</row>
    <row r="10" spans="1:328" s="7" customFormat="1" x14ac:dyDescent="0.3">
      <c r="A10" s="6" t="s">
        <v>150</v>
      </c>
      <c r="B10" s="6">
        <v>1</v>
      </c>
      <c r="C10" s="6" t="s">
        <v>82</v>
      </c>
      <c r="D10" s="6" t="s">
        <v>82</v>
      </c>
      <c r="E10" s="6" t="s">
        <v>83</v>
      </c>
      <c r="F10" s="6" t="s">
        <v>84</v>
      </c>
      <c r="G10" s="6"/>
      <c r="H10" s="6" t="s">
        <v>61</v>
      </c>
      <c r="I10" s="6" t="s">
        <v>60</v>
      </c>
      <c r="J10" s="6"/>
      <c r="K10" s="6">
        <v>2025</v>
      </c>
      <c r="L10" s="6" t="s">
        <v>62</v>
      </c>
      <c r="M10" s="6" t="s">
        <v>63</v>
      </c>
      <c r="N10" s="6">
        <v>127160</v>
      </c>
      <c r="O10" s="6" t="s">
        <v>64</v>
      </c>
      <c r="P10" s="6" t="s">
        <v>65</v>
      </c>
      <c r="Q10" s="6">
        <v>3</v>
      </c>
      <c r="R10" s="6" t="s">
        <v>66</v>
      </c>
      <c r="S10" s="6" t="s">
        <v>87</v>
      </c>
      <c r="T10" s="6"/>
      <c r="U10" s="6" t="s">
        <v>68</v>
      </c>
      <c r="V10" s="6" t="s">
        <v>69</v>
      </c>
      <c r="W10" s="6" t="s">
        <v>70</v>
      </c>
      <c r="X10" s="6"/>
      <c r="Y10" s="6"/>
      <c r="Z10" s="6"/>
      <c r="AA10" s="6" t="s">
        <v>72</v>
      </c>
      <c r="AB10" s="6" t="s">
        <v>73</v>
      </c>
      <c r="AC10" s="6" t="s">
        <v>74</v>
      </c>
      <c r="AD10" s="6">
        <v>204.478693815056</v>
      </c>
      <c r="AE10" s="6"/>
      <c r="AF10" s="6"/>
      <c r="AG10" s="6"/>
      <c r="AH10" s="6"/>
      <c r="AI10" s="6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</row>
    <row r="11" spans="1:328" s="7" customFormat="1" x14ac:dyDescent="0.3">
      <c r="A11" s="8" t="s">
        <v>150</v>
      </c>
      <c r="B11" s="8">
        <v>1</v>
      </c>
      <c r="C11" s="6" t="s">
        <v>82</v>
      </c>
      <c r="D11" s="6" t="s">
        <v>82</v>
      </c>
      <c r="E11" s="8" t="s">
        <v>83</v>
      </c>
      <c r="F11" s="6" t="s">
        <v>84</v>
      </c>
      <c r="G11" s="6"/>
      <c r="H11" s="8" t="s">
        <v>61</v>
      </c>
      <c r="I11" s="6" t="s">
        <v>60</v>
      </c>
      <c r="J11" s="8"/>
      <c r="K11" s="8">
        <v>2025</v>
      </c>
      <c r="L11" s="8" t="s">
        <v>62</v>
      </c>
      <c r="M11" s="8" t="s">
        <v>63</v>
      </c>
      <c r="N11" s="8">
        <v>127160</v>
      </c>
      <c r="O11" s="8" t="s">
        <v>64</v>
      </c>
      <c r="P11" s="8" t="s">
        <v>65</v>
      </c>
      <c r="Q11" s="8">
        <v>4</v>
      </c>
      <c r="R11" s="8" t="s">
        <v>66</v>
      </c>
      <c r="S11" s="8" t="s">
        <v>67</v>
      </c>
      <c r="T11" s="8"/>
      <c r="U11" s="8" t="s">
        <v>68</v>
      </c>
      <c r="V11" s="8" t="s">
        <v>69</v>
      </c>
      <c r="W11" s="8" t="s">
        <v>70</v>
      </c>
      <c r="X11" s="8"/>
      <c r="Y11" s="8"/>
      <c r="Z11" s="8"/>
      <c r="AA11" s="8" t="s">
        <v>72</v>
      </c>
      <c r="AB11" s="8" t="s">
        <v>73</v>
      </c>
      <c r="AC11" s="8" t="s">
        <v>74</v>
      </c>
      <c r="AD11" s="8">
        <v>589.621815061554</v>
      </c>
      <c r="AE11" s="8"/>
      <c r="AF11" s="8"/>
      <c r="AG11" s="8"/>
      <c r="AH11" s="8"/>
      <c r="AI11" s="8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</row>
    <row r="12" spans="1:328" s="7" customFormat="1" x14ac:dyDescent="0.3">
      <c r="A12" s="6" t="s">
        <v>150</v>
      </c>
      <c r="B12" s="6">
        <v>1</v>
      </c>
      <c r="C12" s="6" t="s">
        <v>82</v>
      </c>
      <c r="D12" s="6" t="s">
        <v>82</v>
      </c>
      <c r="E12" s="6" t="s">
        <v>83</v>
      </c>
      <c r="F12" s="6" t="s">
        <v>84</v>
      </c>
      <c r="G12" s="6"/>
      <c r="H12" s="6" t="s">
        <v>61</v>
      </c>
      <c r="I12" s="6" t="s">
        <v>60</v>
      </c>
      <c r="J12" s="6"/>
      <c r="K12" s="6">
        <v>2025</v>
      </c>
      <c r="L12" s="6" t="s">
        <v>62</v>
      </c>
      <c r="M12" s="6" t="s">
        <v>63</v>
      </c>
      <c r="N12" s="6">
        <v>127160</v>
      </c>
      <c r="O12" s="6" t="s">
        <v>64</v>
      </c>
      <c r="P12" s="6" t="s">
        <v>65</v>
      </c>
      <c r="Q12" s="6">
        <v>4</v>
      </c>
      <c r="R12" s="6" t="s">
        <v>66</v>
      </c>
      <c r="S12" s="6" t="s">
        <v>87</v>
      </c>
      <c r="T12" s="6"/>
      <c r="U12" s="6" t="s">
        <v>68</v>
      </c>
      <c r="V12" s="6" t="s">
        <v>69</v>
      </c>
      <c r="W12" s="6" t="s">
        <v>70</v>
      </c>
      <c r="X12" s="6"/>
      <c r="Y12" s="6"/>
      <c r="Z12" s="6"/>
      <c r="AA12" s="6" t="s">
        <v>72</v>
      </c>
      <c r="AB12" s="6" t="s">
        <v>73</v>
      </c>
      <c r="AC12" s="6" t="s">
        <v>74</v>
      </c>
      <c r="AD12" s="6">
        <v>227.70649663411601</v>
      </c>
      <c r="AE12" s="6"/>
      <c r="AF12" s="6"/>
      <c r="AG12" s="6"/>
      <c r="AH12" s="6"/>
      <c r="AI12" s="6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</row>
    <row r="13" spans="1:328" s="22" customFormat="1" x14ac:dyDescent="0.3">
      <c r="A13" s="32" t="s">
        <v>150</v>
      </c>
      <c r="B13" s="32">
        <v>1</v>
      </c>
      <c r="C13" s="32" t="s">
        <v>82</v>
      </c>
      <c r="D13" s="32"/>
      <c r="E13" s="32"/>
      <c r="F13" s="32" t="s">
        <v>60</v>
      </c>
      <c r="G13" s="32"/>
      <c r="H13" s="32" t="s">
        <v>61</v>
      </c>
      <c r="I13" s="32" t="s">
        <v>60</v>
      </c>
      <c r="J13" s="32"/>
      <c r="K13" s="32">
        <v>2025</v>
      </c>
      <c r="L13" s="32" t="s">
        <v>62</v>
      </c>
      <c r="M13" s="32" t="s">
        <v>63</v>
      </c>
      <c r="N13" s="32">
        <v>127160</v>
      </c>
      <c r="O13" s="32" t="s">
        <v>88</v>
      </c>
      <c r="P13" s="32" t="s">
        <v>65</v>
      </c>
      <c r="Q13" s="32">
        <v>1</v>
      </c>
      <c r="R13" s="32" t="s">
        <v>66</v>
      </c>
      <c r="S13" s="32" t="s">
        <v>67</v>
      </c>
      <c r="T13" s="32"/>
      <c r="U13" s="32" t="s">
        <v>85</v>
      </c>
      <c r="V13" s="32" t="s">
        <v>69</v>
      </c>
      <c r="W13" s="32" t="s">
        <v>86</v>
      </c>
      <c r="X13" s="32"/>
      <c r="Y13" s="32"/>
      <c r="Z13" s="32"/>
      <c r="AA13" s="32" t="s">
        <v>72</v>
      </c>
      <c r="AB13" s="32" t="s">
        <v>73</v>
      </c>
      <c r="AC13" s="32" t="s">
        <v>74</v>
      </c>
      <c r="AD13" s="32">
        <v>2979</v>
      </c>
      <c r="AE13" s="32"/>
      <c r="AF13" s="32"/>
      <c r="AG13" s="32"/>
      <c r="AH13" s="32"/>
      <c r="AI13" s="32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</row>
    <row r="14" spans="1:328" s="22" customFormat="1" x14ac:dyDescent="0.3">
      <c r="A14" s="33" t="s">
        <v>150</v>
      </c>
      <c r="B14" s="33">
        <v>1</v>
      </c>
      <c r="C14" s="33" t="s">
        <v>82</v>
      </c>
      <c r="D14" s="32"/>
      <c r="E14" s="33"/>
      <c r="F14" s="32" t="s">
        <v>60</v>
      </c>
      <c r="G14" s="32"/>
      <c r="H14" s="33" t="s">
        <v>61</v>
      </c>
      <c r="I14" s="32" t="s">
        <v>60</v>
      </c>
      <c r="J14" s="33"/>
      <c r="K14" s="33">
        <v>2025</v>
      </c>
      <c r="L14" s="33" t="s">
        <v>62</v>
      </c>
      <c r="M14" s="33" t="s">
        <v>63</v>
      </c>
      <c r="N14" s="33">
        <v>127160</v>
      </c>
      <c r="O14" s="33" t="s">
        <v>88</v>
      </c>
      <c r="P14" s="33" t="s">
        <v>65</v>
      </c>
      <c r="Q14" s="33">
        <v>1</v>
      </c>
      <c r="R14" s="33" t="s">
        <v>66</v>
      </c>
      <c r="S14" s="33" t="s">
        <v>87</v>
      </c>
      <c r="T14" s="33"/>
      <c r="U14" s="33" t="s">
        <v>68</v>
      </c>
      <c r="V14" s="33" t="s">
        <v>69</v>
      </c>
      <c r="W14" s="33" t="s">
        <v>70</v>
      </c>
      <c r="X14" s="33"/>
      <c r="Y14" s="33"/>
      <c r="Z14" s="33"/>
      <c r="AA14" s="33" t="s">
        <v>72</v>
      </c>
      <c r="AB14" s="33" t="s">
        <v>73</v>
      </c>
      <c r="AC14" s="33" t="s">
        <v>74</v>
      </c>
      <c r="AD14" s="33">
        <v>10888.5</v>
      </c>
      <c r="AE14" s="33"/>
      <c r="AF14" s="33"/>
      <c r="AG14" s="33"/>
      <c r="AH14" s="33"/>
      <c r="AI14" s="33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</row>
    <row r="15" spans="1:328" s="22" customFormat="1" x14ac:dyDescent="0.3">
      <c r="A15" s="32" t="s">
        <v>150</v>
      </c>
      <c r="B15" s="32">
        <v>1</v>
      </c>
      <c r="C15" s="32" t="s">
        <v>82</v>
      </c>
      <c r="D15" s="32"/>
      <c r="E15" s="32"/>
      <c r="F15" s="32" t="s">
        <v>60</v>
      </c>
      <c r="G15" s="32"/>
      <c r="H15" s="32" t="s">
        <v>61</v>
      </c>
      <c r="I15" s="32" t="s">
        <v>60</v>
      </c>
      <c r="J15" s="32"/>
      <c r="K15" s="32">
        <v>2025</v>
      </c>
      <c r="L15" s="32" t="s">
        <v>62</v>
      </c>
      <c r="M15" s="32" t="s">
        <v>63</v>
      </c>
      <c r="N15" s="32">
        <v>127160</v>
      </c>
      <c r="O15" s="32" t="s">
        <v>88</v>
      </c>
      <c r="P15" s="32" t="s">
        <v>65</v>
      </c>
      <c r="Q15" s="32">
        <v>2</v>
      </c>
      <c r="R15" s="32" t="s">
        <v>66</v>
      </c>
      <c r="S15" s="32" t="s">
        <v>67</v>
      </c>
      <c r="T15" s="32"/>
      <c r="U15" s="32" t="s">
        <v>85</v>
      </c>
      <c r="V15" s="32" t="s">
        <v>69</v>
      </c>
      <c r="W15" s="32" t="s">
        <v>86</v>
      </c>
      <c r="X15" s="32"/>
      <c r="Y15" s="32"/>
      <c r="Z15" s="32"/>
      <c r="AA15" s="32" t="s">
        <v>72</v>
      </c>
      <c r="AB15" s="32" t="s">
        <v>73</v>
      </c>
      <c r="AC15" s="32" t="s">
        <v>74</v>
      </c>
      <c r="AD15" s="32">
        <v>908</v>
      </c>
      <c r="AE15" s="32"/>
      <c r="AF15" s="32"/>
      <c r="AG15" s="32"/>
      <c r="AH15" s="32"/>
      <c r="AI15" s="32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</row>
    <row r="16" spans="1:328" s="22" customFormat="1" x14ac:dyDescent="0.3">
      <c r="A16" s="33" t="s">
        <v>150</v>
      </c>
      <c r="B16" s="33">
        <v>1</v>
      </c>
      <c r="C16" s="33" t="s">
        <v>82</v>
      </c>
      <c r="D16" s="32"/>
      <c r="E16" s="33"/>
      <c r="F16" s="32" t="s">
        <v>60</v>
      </c>
      <c r="G16" s="32"/>
      <c r="H16" s="33" t="s">
        <v>61</v>
      </c>
      <c r="I16" s="32" t="s">
        <v>60</v>
      </c>
      <c r="J16" s="33"/>
      <c r="K16" s="33">
        <v>2025</v>
      </c>
      <c r="L16" s="33" t="s">
        <v>62</v>
      </c>
      <c r="M16" s="33" t="s">
        <v>63</v>
      </c>
      <c r="N16" s="33">
        <v>127160</v>
      </c>
      <c r="O16" s="33" t="s">
        <v>88</v>
      </c>
      <c r="P16" s="33" t="s">
        <v>65</v>
      </c>
      <c r="Q16" s="33">
        <v>2</v>
      </c>
      <c r="R16" s="33" t="s">
        <v>66</v>
      </c>
      <c r="S16" s="33" t="s">
        <v>67</v>
      </c>
      <c r="T16" s="33"/>
      <c r="U16" s="33" t="s">
        <v>68</v>
      </c>
      <c r="V16" s="33" t="s">
        <v>69</v>
      </c>
      <c r="W16" s="33" t="s">
        <v>70</v>
      </c>
      <c r="X16" s="33"/>
      <c r="Y16" s="33"/>
      <c r="Z16" s="33"/>
      <c r="AA16" s="33" t="s">
        <v>72</v>
      </c>
      <c r="AB16" s="33" t="s">
        <v>73</v>
      </c>
      <c r="AC16" s="33" t="s">
        <v>74</v>
      </c>
      <c r="AD16" s="33">
        <v>37849.599999999999</v>
      </c>
      <c r="AE16" s="33"/>
      <c r="AF16" s="33"/>
      <c r="AG16" s="33"/>
      <c r="AH16" s="33"/>
      <c r="AI16" s="33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</row>
    <row r="17" spans="1:328" s="22" customFormat="1" x14ac:dyDescent="0.3">
      <c r="A17" s="32" t="s">
        <v>150</v>
      </c>
      <c r="B17" s="32">
        <v>1</v>
      </c>
      <c r="C17" s="32" t="s">
        <v>82</v>
      </c>
      <c r="D17" s="32"/>
      <c r="E17" s="32"/>
      <c r="F17" s="32" t="s">
        <v>60</v>
      </c>
      <c r="G17" s="32"/>
      <c r="H17" s="32" t="s">
        <v>61</v>
      </c>
      <c r="I17" s="32" t="s">
        <v>60</v>
      </c>
      <c r="J17" s="32"/>
      <c r="K17" s="32">
        <v>2025</v>
      </c>
      <c r="L17" s="32" t="s">
        <v>62</v>
      </c>
      <c r="M17" s="32" t="s">
        <v>63</v>
      </c>
      <c r="N17" s="32">
        <v>127160</v>
      </c>
      <c r="O17" s="32" t="s">
        <v>88</v>
      </c>
      <c r="P17" s="32" t="s">
        <v>65</v>
      </c>
      <c r="Q17" s="32">
        <v>2</v>
      </c>
      <c r="R17" s="32" t="s">
        <v>66</v>
      </c>
      <c r="S17" s="32" t="s">
        <v>87</v>
      </c>
      <c r="T17" s="32"/>
      <c r="U17" s="32" t="s">
        <v>68</v>
      </c>
      <c r="V17" s="32" t="s">
        <v>69</v>
      </c>
      <c r="W17" s="32" t="s">
        <v>70</v>
      </c>
      <c r="X17" s="32"/>
      <c r="Y17" s="32"/>
      <c r="Z17" s="32"/>
      <c r="AA17" s="32" t="s">
        <v>72</v>
      </c>
      <c r="AB17" s="32" t="s">
        <v>73</v>
      </c>
      <c r="AC17" s="32" t="s">
        <v>74</v>
      </c>
      <c r="AD17" s="32">
        <v>4302.5</v>
      </c>
      <c r="AE17" s="32"/>
      <c r="AF17" s="32"/>
      <c r="AG17" s="32"/>
      <c r="AH17" s="32"/>
      <c r="AI17" s="32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</row>
    <row r="18" spans="1:328" s="22" customFormat="1" x14ac:dyDescent="0.3">
      <c r="A18" s="33" t="s">
        <v>150</v>
      </c>
      <c r="B18" s="33">
        <v>1</v>
      </c>
      <c r="C18" s="33" t="s">
        <v>82</v>
      </c>
      <c r="D18" s="32"/>
      <c r="E18" s="33"/>
      <c r="F18" s="32" t="s">
        <v>60</v>
      </c>
      <c r="G18" s="32"/>
      <c r="H18" s="33" t="s">
        <v>61</v>
      </c>
      <c r="I18" s="32" t="s">
        <v>60</v>
      </c>
      <c r="J18" s="33"/>
      <c r="K18" s="33">
        <v>2025</v>
      </c>
      <c r="L18" s="33" t="s">
        <v>62</v>
      </c>
      <c r="M18" s="33" t="s">
        <v>63</v>
      </c>
      <c r="N18" s="33">
        <v>127160</v>
      </c>
      <c r="O18" s="33" t="s">
        <v>88</v>
      </c>
      <c r="P18" s="33" t="s">
        <v>65</v>
      </c>
      <c r="Q18" s="33">
        <v>3</v>
      </c>
      <c r="R18" s="33" t="s">
        <v>66</v>
      </c>
      <c r="S18" s="33" t="s">
        <v>67</v>
      </c>
      <c r="T18" s="33"/>
      <c r="U18" s="33" t="s">
        <v>68</v>
      </c>
      <c r="V18" s="33" t="s">
        <v>69</v>
      </c>
      <c r="W18" s="33" t="s">
        <v>70</v>
      </c>
      <c r="X18" s="33"/>
      <c r="Y18" s="33"/>
      <c r="Z18" s="33"/>
      <c r="AA18" s="33" t="s">
        <v>72</v>
      </c>
      <c r="AB18" s="33" t="s">
        <v>73</v>
      </c>
      <c r="AC18" s="33" t="s">
        <v>74</v>
      </c>
      <c r="AD18" s="33">
        <v>2867.7</v>
      </c>
      <c r="AE18" s="33"/>
      <c r="AF18" s="33"/>
      <c r="AG18" s="33"/>
      <c r="AH18" s="33"/>
      <c r="AI18" s="33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</row>
    <row r="19" spans="1:328" s="22" customFormat="1" x14ac:dyDescent="0.3">
      <c r="A19" s="32" t="s">
        <v>150</v>
      </c>
      <c r="B19" s="32">
        <v>1</v>
      </c>
      <c r="C19" s="32" t="s">
        <v>82</v>
      </c>
      <c r="D19" s="32"/>
      <c r="E19" s="32"/>
      <c r="F19" s="32" t="s">
        <v>60</v>
      </c>
      <c r="G19" s="32"/>
      <c r="H19" s="32" t="s">
        <v>61</v>
      </c>
      <c r="I19" s="32" t="s">
        <v>60</v>
      </c>
      <c r="J19" s="32"/>
      <c r="K19" s="32">
        <v>2025</v>
      </c>
      <c r="L19" s="32" t="s">
        <v>62</v>
      </c>
      <c r="M19" s="32" t="s">
        <v>63</v>
      </c>
      <c r="N19" s="32">
        <v>127160</v>
      </c>
      <c r="O19" s="32" t="s">
        <v>88</v>
      </c>
      <c r="P19" s="32" t="s">
        <v>65</v>
      </c>
      <c r="Q19" s="32">
        <v>3</v>
      </c>
      <c r="R19" s="32" t="s">
        <v>66</v>
      </c>
      <c r="S19" s="32" t="s">
        <v>87</v>
      </c>
      <c r="T19" s="32"/>
      <c r="U19" s="32" t="s">
        <v>68</v>
      </c>
      <c r="V19" s="32" t="s">
        <v>69</v>
      </c>
      <c r="W19" s="32" t="s">
        <v>70</v>
      </c>
      <c r="X19" s="32"/>
      <c r="Y19" s="32"/>
      <c r="Z19" s="32"/>
      <c r="AA19" s="32" t="s">
        <v>72</v>
      </c>
      <c r="AB19" s="32" t="s">
        <v>73</v>
      </c>
      <c r="AC19" s="32" t="s">
        <v>74</v>
      </c>
      <c r="AD19" s="32">
        <v>4253.7</v>
      </c>
      <c r="AE19" s="32"/>
      <c r="AF19" s="32"/>
      <c r="AG19" s="32"/>
      <c r="AH19" s="32"/>
      <c r="AI19" s="32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</row>
    <row r="20" spans="1:328" s="22" customFormat="1" x14ac:dyDescent="0.3">
      <c r="A20" s="33" t="s">
        <v>150</v>
      </c>
      <c r="B20" s="33">
        <v>1</v>
      </c>
      <c r="C20" s="33" t="s">
        <v>82</v>
      </c>
      <c r="D20" s="32"/>
      <c r="E20" s="33"/>
      <c r="F20" s="32" t="s">
        <v>60</v>
      </c>
      <c r="G20" s="32"/>
      <c r="H20" s="33" t="s">
        <v>61</v>
      </c>
      <c r="I20" s="32" t="s">
        <v>60</v>
      </c>
      <c r="J20" s="33"/>
      <c r="K20" s="33">
        <v>2025</v>
      </c>
      <c r="L20" s="33" t="s">
        <v>62</v>
      </c>
      <c r="M20" s="33" t="s">
        <v>63</v>
      </c>
      <c r="N20" s="33">
        <v>127160</v>
      </c>
      <c r="O20" s="33" t="s">
        <v>88</v>
      </c>
      <c r="P20" s="33" t="s">
        <v>65</v>
      </c>
      <c r="Q20" s="33">
        <v>4</v>
      </c>
      <c r="R20" s="33" t="s">
        <v>66</v>
      </c>
      <c r="S20" s="33" t="s">
        <v>67</v>
      </c>
      <c r="T20" s="33"/>
      <c r="U20" s="33" t="s">
        <v>68</v>
      </c>
      <c r="V20" s="33" t="s">
        <v>69</v>
      </c>
      <c r="W20" s="33" t="s">
        <v>70</v>
      </c>
      <c r="X20" s="33"/>
      <c r="Y20" s="33"/>
      <c r="Z20" s="33"/>
      <c r="AA20" s="33" t="s">
        <v>72</v>
      </c>
      <c r="AB20" s="33" t="s">
        <v>73</v>
      </c>
      <c r="AC20" s="33" t="s">
        <v>74</v>
      </c>
      <c r="AD20" s="33">
        <v>12265.7</v>
      </c>
      <c r="AE20" s="33"/>
      <c r="AF20" s="33"/>
      <c r="AG20" s="33"/>
      <c r="AH20" s="33"/>
      <c r="AI20" s="33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</row>
    <row r="21" spans="1:328" s="22" customFormat="1" x14ac:dyDescent="0.3">
      <c r="A21" s="32" t="s">
        <v>150</v>
      </c>
      <c r="B21" s="32">
        <v>1</v>
      </c>
      <c r="C21" s="32" t="s">
        <v>82</v>
      </c>
      <c r="D21" s="32"/>
      <c r="E21" s="32"/>
      <c r="F21" s="32" t="s">
        <v>60</v>
      </c>
      <c r="G21" s="32"/>
      <c r="H21" s="32" t="s">
        <v>61</v>
      </c>
      <c r="I21" s="32" t="s">
        <v>60</v>
      </c>
      <c r="J21" s="32"/>
      <c r="K21" s="32">
        <v>2025</v>
      </c>
      <c r="L21" s="32" t="s">
        <v>62</v>
      </c>
      <c r="M21" s="32" t="s">
        <v>63</v>
      </c>
      <c r="N21" s="32">
        <v>127160</v>
      </c>
      <c r="O21" s="32" t="s">
        <v>88</v>
      </c>
      <c r="P21" s="32" t="s">
        <v>65</v>
      </c>
      <c r="Q21" s="32">
        <v>4</v>
      </c>
      <c r="R21" s="32" t="s">
        <v>66</v>
      </c>
      <c r="S21" s="32" t="s">
        <v>87</v>
      </c>
      <c r="T21" s="32"/>
      <c r="U21" s="32" t="s">
        <v>68</v>
      </c>
      <c r="V21" s="32" t="s">
        <v>69</v>
      </c>
      <c r="W21" s="32" t="s">
        <v>70</v>
      </c>
      <c r="X21" s="32"/>
      <c r="Y21" s="32"/>
      <c r="Z21" s="32"/>
      <c r="AA21" s="32" t="s">
        <v>72</v>
      </c>
      <c r="AB21" s="32" t="s">
        <v>73</v>
      </c>
      <c r="AC21" s="32" t="s">
        <v>74</v>
      </c>
      <c r="AD21" s="32">
        <v>4736.8999999999996</v>
      </c>
      <c r="AE21" s="32"/>
      <c r="AF21" s="32"/>
      <c r="AG21" s="32"/>
      <c r="AH21" s="32"/>
      <c r="AI21" s="32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</row>
    <row r="22" spans="1:328" s="22" customFormat="1" x14ac:dyDescent="0.3">
      <c r="A22" s="33" t="s">
        <v>150</v>
      </c>
      <c r="B22" s="33">
        <v>1</v>
      </c>
      <c r="C22" s="33" t="s">
        <v>82</v>
      </c>
      <c r="D22" s="32"/>
      <c r="E22" s="33"/>
      <c r="F22" s="32" t="s">
        <v>60</v>
      </c>
      <c r="G22" s="32"/>
      <c r="H22" s="33" t="s">
        <v>61</v>
      </c>
      <c r="I22" s="32" t="s">
        <v>60</v>
      </c>
      <c r="J22" s="33"/>
      <c r="K22" s="33">
        <v>2025</v>
      </c>
      <c r="L22" s="33" t="s">
        <v>62</v>
      </c>
      <c r="M22" s="33" t="s">
        <v>63</v>
      </c>
      <c r="N22" s="33">
        <v>127160</v>
      </c>
      <c r="O22" s="33" t="s">
        <v>88</v>
      </c>
      <c r="P22" s="33" t="s">
        <v>65</v>
      </c>
      <c r="Q22" s="33">
        <v>1</v>
      </c>
      <c r="R22" s="33" t="s">
        <v>66</v>
      </c>
      <c r="S22" s="33" t="s">
        <v>67</v>
      </c>
      <c r="T22" s="33"/>
      <c r="U22" s="33" t="s">
        <v>68</v>
      </c>
      <c r="V22" s="33" t="s">
        <v>69</v>
      </c>
      <c r="W22" s="33" t="s">
        <v>70</v>
      </c>
      <c r="X22" s="33" t="s">
        <v>71</v>
      </c>
      <c r="Y22" s="33"/>
      <c r="Z22" s="33"/>
      <c r="AA22" s="33" t="s">
        <v>72</v>
      </c>
      <c r="AB22" s="33" t="s">
        <v>73</v>
      </c>
      <c r="AC22" s="33" t="s">
        <v>74</v>
      </c>
      <c r="AD22" s="33">
        <v>249986.1</v>
      </c>
      <c r="AE22" s="33"/>
      <c r="AF22" s="33"/>
      <c r="AG22" s="33"/>
      <c r="AH22" s="33"/>
      <c r="AI22" s="33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</row>
    <row r="23" spans="1:328" s="22" customFormat="1" x14ac:dyDescent="0.3">
      <c r="A23" s="32" t="s">
        <v>150</v>
      </c>
      <c r="B23" s="32">
        <v>1</v>
      </c>
      <c r="C23" s="32" t="s">
        <v>82</v>
      </c>
      <c r="D23" s="32"/>
      <c r="E23" s="32"/>
      <c r="F23" s="32" t="s">
        <v>60</v>
      </c>
      <c r="G23" s="32"/>
      <c r="H23" s="32" t="s">
        <v>77</v>
      </c>
      <c r="I23" s="32" t="s">
        <v>60</v>
      </c>
      <c r="J23" s="32"/>
      <c r="K23" s="32">
        <v>2025</v>
      </c>
      <c r="L23" s="32" t="s">
        <v>62</v>
      </c>
      <c r="M23" s="32" t="s">
        <v>63</v>
      </c>
      <c r="N23" s="32">
        <v>127160</v>
      </c>
      <c r="O23" s="32" t="s">
        <v>88</v>
      </c>
      <c r="P23" s="32" t="s">
        <v>65</v>
      </c>
      <c r="Q23" s="32">
        <v>1</v>
      </c>
      <c r="R23" s="32" t="s">
        <v>66</v>
      </c>
      <c r="S23" s="32" t="s">
        <v>67</v>
      </c>
      <c r="T23" s="32"/>
      <c r="U23" s="32" t="s">
        <v>68</v>
      </c>
      <c r="V23" s="32" t="s">
        <v>69</v>
      </c>
      <c r="W23" s="32" t="s">
        <v>70</v>
      </c>
      <c r="X23" s="32" t="s">
        <v>80</v>
      </c>
      <c r="Y23" s="32"/>
      <c r="Z23" s="32"/>
      <c r="AA23" s="32" t="s">
        <v>72</v>
      </c>
      <c r="AB23" s="32" t="s">
        <v>73</v>
      </c>
      <c r="AC23" s="32" t="s">
        <v>74</v>
      </c>
      <c r="AD23" s="32">
        <v>129859</v>
      </c>
      <c r="AE23" s="32"/>
      <c r="AF23" s="32"/>
      <c r="AG23" s="32"/>
      <c r="AH23" s="32"/>
      <c r="AI23" s="32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</row>
    <row r="24" spans="1:328" s="22" customFormat="1" x14ac:dyDescent="0.3">
      <c r="A24" s="33" t="s">
        <v>150</v>
      </c>
      <c r="B24" s="33">
        <v>1</v>
      </c>
      <c r="C24" s="33" t="s">
        <v>82</v>
      </c>
      <c r="D24" s="32"/>
      <c r="E24" s="33"/>
      <c r="F24" s="32" t="s">
        <v>60</v>
      </c>
      <c r="G24" s="32"/>
      <c r="H24" s="33" t="s">
        <v>77</v>
      </c>
      <c r="I24" s="32" t="s">
        <v>60</v>
      </c>
      <c r="J24" s="33"/>
      <c r="K24" s="33">
        <v>2025</v>
      </c>
      <c r="L24" s="33" t="s">
        <v>62</v>
      </c>
      <c r="M24" s="33" t="s">
        <v>63</v>
      </c>
      <c r="N24" s="33">
        <v>127160</v>
      </c>
      <c r="O24" s="33" t="s">
        <v>88</v>
      </c>
      <c r="P24" s="33" t="s">
        <v>65</v>
      </c>
      <c r="Q24" s="33">
        <v>1</v>
      </c>
      <c r="R24" s="33" t="s">
        <v>66</v>
      </c>
      <c r="S24" s="33" t="s">
        <v>87</v>
      </c>
      <c r="T24" s="33"/>
      <c r="U24" s="33" t="s">
        <v>68</v>
      </c>
      <c r="V24" s="33" t="s">
        <v>69</v>
      </c>
      <c r="W24" s="33" t="s">
        <v>70</v>
      </c>
      <c r="X24" s="33" t="s">
        <v>80</v>
      </c>
      <c r="Y24" s="33"/>
      <c r="Z24" s="33"/>
      <c r="AA24" s="33" t="s">
        <v>72</v>
      </c>
      <c r="AB24" s="33" t="s">
        <v>73</v>
      </c>
      <c r="AC24" s="33" t="s">
        <v>74</v>
      </c>
      <c r="AD24" s="33">
        <v>21964</v>
      </c>
      <c r="AE24" s="33"/>
      <c r="AF24" s="33"/>
      <c r="AG24" s="33"/>
      <c r="AH24" s="33"/>
      <c r="AI24" s="33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</row>
    <row r="25" spans="1:328" s="22" customFormat="1" x14ac:dyDescent="0.3">
      <c r="A25" s="32" t="s">
        <v>150</v>
      </c>
      <c r="B25" s="32">
        <v>1</v>
      </c>
      <c r="C25" s="32" t="s">
        <v>82</v>
      </c>
      <c r="D25" s="32"/>
      <c r="E25" s="32"/>
      <c r="F25" s="32" t="s">
        <v>60</v>
      </c>
      <c r="G25" s="32"/>
      <c r="H25" s="32" t="s">
        <v>77</v>
      </c>
      <c r="I25" s="32" t="s">
        <v>60</v>
      </c>
      <c r="J25" s="32"/>
      <c r="K25" s="32">
        <v>2025</v>
      </c>
      <c r="L25" s="32" t="s">
        <v>62</v>
      </c>
      <c r="M25" s="32" t="s">
        <v>63</v>
      </c>
      <c r="N25" s="32">
        <v>127160</v>
      </c>
      <c r="O25" s="32" t="s">
        <v>88</v>
      </c>
      <c r="P25" s="32" t="s">
        <v>65</v>
      </c>
      <c r="Q25" s="32">
        <v>2</v>
      </c>
      <c r="R25" s="32" t="s">
        <v>66</v>
      </c>
      <c r="S25" s="32" t="s">
        <v>67</v>
      </c>
      <c r="T25" s="32"/>
      <c r="U25" s="32" t="s">
        <v>68</v>
      </c>
      <c r="V25" s="32" t="s">
        <v>69</v>
      </c>
      <c r="W25" s="32" t="s">
        <v>70</v>
      </c>
      <c r="X25" s="32" t="s">
        <v>80</v>
      </c>
      <c r="Y25" s="32"/>
      <c r="Z25" s="32"/>
      <c r="AA25" s="32" t="s">
        <v>72</v>
      </c>
      <c r="AB25" s="32" t="s">
        <v>73</v>
      </c>
      <c r="AC25" s="32" t="s">
        <v>74</v>
      </c>
      <c r="AD25" s="32">
        <v>189721</v>
      </c>
      <c r="AE25" s="32"/>
      <c r="AF25" s="32"/>
      <c r="AG25" s="32"/>
      <c r="AH25" s="32"/>
      <c r="AI25" s="32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</row>
    <row r="26" spans="1:328" s="22" customFormat="1" x14ac:dyDescent="0.3">
      <c r="A26" s="33" t="s">
        <v>150</v>
      </c>
      <c r="B26" s="33">
        <v>1</v>
      </c>
      <c r="C26" s="33" t="s">
        <v>82</v>
      </c>
      <c r="D26" s="32"/>
      <c r="E26" s="33"/>
      <c r="F26" s="32" t="s">
        <v>60</v>
      </c>
      <c r="G26" s="32"/>
      <c r="H26" s="33" t="s">
        <v>77</v>
      </c>
      <c r="I26" s="32" t="s">
        <v>60</v>
      </c>
      <c r="J26" s="33"/>
      <c r="K26" s="33">
        <v>2025</v>
      </c>
      <c r="L26" s="33" t="s">
        <v>62</v>
      </c>
      <c r="M26" s="33" t="s">
        <v>63</v>
      </c>
      <c r="N26" s="33">
        <v>127160</v>
      </c>
      <c r="O26" s="33" t="s">
        <v>88</v>
      </c>
      <c r="P26" s="33" t="s">
        <v>65</v>
      </c>
      <c r="Q26" s="33">
        <v>2</v>
      </c>
      <c r="R26" s="33" t="s">
        <v>66</v>
      </c>
      <c r="S26" s="33" t="s">
        <v>87</v>
      </c>
      <c r="T26" s="33"/>
      <c r="U26" s="33" t="s">
        <v>68</v>
      </c>
      <c r="V26" s="33" t="s">
        <v>69</v>
      </c>
      <c r="W26" s="33" t="s">
        <v>70</v>
      </c>
      <c r="X26" s="33" t="s">
        <v>80</v>
      </c>
      <c r="Y26" s="33"/>
      <c r="Z26" s="33"/>
      <c r="AA26" s="33" t="s">
        <v>72</v>
      </c>
      <c r="AB26" s="33" t="s">
        <v>73</v>
      </c>
      <c r="AC26" s="33" t="s">
        <v>74</v>
      </c>
      <c r="AD26" s="33">
        <v>136971</v>
      </c>
      <c r="AE26" s="33"/>
      <c r="AF26" s="33"/>
      <c r="AG26" s="33"/>
      <c r="AH26" s="33"/>
      <c r="AI26" s="33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</row>
    <row r="27" spans="1:328" s="22" customFormat="1" x14ac:dyDescent="0.3">
      <c r="A27" s="32" t="s">
        <v>150</v>
      </c>
      <c r="B27" s="32">
        <v>1</v>
      </c>
      <c r="C27" s="32" t="s">
        <v>82</v>
      </c>
      <c r="D27" s="32"/>
      <c r="E27" s="32"/>
      <c r="F27" s="32" t="s">
        <v>60</v>
      </c>
      <c r="G27" s="32"/>
      <c r="H27" s="32" t="s">
        <v>77</v>
      </c>
      <c r="I27" s="32" t="s">
        <v>60</v>
      </c>
      <c r="J27" s="32"/>
      <c r="K27" s="32">
        <v>2025</v>
      </c>
      <c r="L27" s="32" t="s">
        <v>62</v>
      </c>
      <c r="M27" s="32" t="s">
        <v>63</v>
      </c>
      <c r="N27" s="32">
        <v>127160</v>
      </c>
      <c r="O27" s="32" t="s">
        <v>88</v>
      </c>
      <c r="P27" s="32" t="s">
        <v>65</v>
      </c>
      <c r="Q27" s="32">
        <v>3</v>
      </c>
      <c r="R27" s="32" t="s">
        <v>66</v>
      </c>
      <c r="S27" s="32" t="s">
        <v>67</v>
      </c>
      <c r="T27" s="32"/>
      <c r="U27" s="32" t="s">
        <v>68</v>
      </c>
      <c r="V27" s="32" t="s">
        <v>69</v>
      </c>
      <c r="W27" s="32" t="s">
        <v>70</v>
      </c>
      <c r="X27" s="32" t="s">
        <v>80</v>
      </c>
      <c r="Y27" s="32"/>
      <c r="Z27" s="32"/>
      <c r="AA27" s="32" t="s">
        <v>72</v>
      </c>
      <c r="AB27" s="32" t="s">
        <v>73</v>
      </c>
      <c r="AC27" s="32" t="s">
        <v>74</v>
      </c>
      <c r="AD27" s="32">
        <v>27010</v>
      </c>
      <c r="AE27" s="32"/>
      <c r="AF27" s="32"/>
      <c r="AG27" s="32"/>
      <c r="AH27" s="32"/>
      <c r="AI27" s="32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</row>
    <row r="28" spans="1:328" s="22" customFormat="1" x14ac:dyDescent="0.3">
      <c r="A28" s="33" t="s">
        <v>150</v>
      </c>
      <c r="B28" s="33">
        <v>1</v>
      </c>
      <c r="C28" s="33" t="s">
        <v>82</v>
      </c>
      <c r="D28" s="32"/>
      <c r="E28" s="33"/>
      <c r="F28" s="32" t="s">
        <v>60</v>
      </c>
      <c r="G28" s="32"/>
      <c r="H28" s="33" t="s">
        <v>77</v>
      </c>
      <c r="I28" s="32" t="s">
        <v>60</v>
      </c>
      <c r="J28" s="33"/>
      <c r="K28" s="33">
        <v>2025</v>
      </c>
      <c r="L28" s="33" t="s">
        <v>62</v>
      </c>
      <c r="M28" s="33" t="s">
        <v>63</v>
      </c>
      <c r="N28" s="33">
        <v>127160</v>
      </c>
      <c r="O28" s="33" t="s">
        <v>88</v>
      </c>
      <c r="P28" s="33" t="s">
        <v>65</v>
      </c>
      <c r="Q28" s="33">
        <v>3</v>
      </c>
      <c r="R28" s="33" t="s">
        <v>66</v>
      </c>
      <c r="S28" s="33" t="s">
        <v>87</v>
      </c>
      <c r="T28" s="33"/>
      <c r="U28" s="33" t="s">
        <v>68</v>
      </c>
      <c r="V28" s="33" t="s">
        <v>69</v>
      </c>
      <c r="W28" s="33" t="s">
        <v>70</v>
      </c>
      <c r="X28" s="33" t="s">
        <v>80</v>
      </c>
      <c r="Y28" s="33"/>
      <c r="Z28" s="33"/>
      <c r="AA28" s="33" t="s">
        <v>72</v>
      </c>
      <c r="AB28" s="33" t="s">
        <v>73</v>
      </c>
      <c r="AC28" s="33" t="s">
        <v>74</v>
      </c>
      <c r="AD28" s="33">
        <v>124506</v>
      </c>
      <c r="AE28" s="33"/>
      <c r="AF28" s="33"/>
      <c r="AG28" s="33"/>
      <c r="AH28" s="33"/>
      <c r="AI28" s="33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</row>
    <row r="29" spans="1:328" s="22" customFormat="1" x14ac:dyDescent="0.3">
      <c r="A29" s="32" t="s">
        <v>150</v>
      </c>
      <c r="B29" s="32">
        <v>1</v>
      </c>
      <c r="C29" s="32" t="s">
        <v>82</v>
      </c>
      <c r="D29" s="32"/>
      <c r="E29" s="32"/>
      <c r="F29" s="32" t="s">
        <v>60</v>
      </c>
      <c r="G29" s="32"/>
      <c r="H29" s="32" t="s">
        <v>77</v>
      </c>
      <c r="I29" s="32" t="s">
        <v>60</v>
      </c>
      <c r="J29" s="32"/>
      <c r="K29" s="32">
        <v>2025</v>
      </c>
      <c r="L29" s="32" t="s">
        <v>62</v>
      </c>
      <c r="M29" s="32" t="s">
        <v>63</v>
      </c>
      <c r="N29" s="32">
        <v>127160</v>
      </c>
      <c r="O29" s="32" t="s">
        <v>88</v>
      </c>
      <c r="P29" s="32" t="s">
        <v>65</v>
      </c>
      <c r="Q29" s="32">
        <v>4</v>
      </c>
      <c r="R29" s="32" t="s">
        <v>66</v>
      </c>
      <c r="S29" s="32" t="s">
        <v>67</v>
      </c>
      <c r="T29" s="32"/>
      <c r="U29" s="32" t="s">
        <v>68</v>
      </c>
      <c r="V29" s="32" t="s">
        <v>69</v>
      </c>
      <c r="W29" s="32" t="s">
        <v>70</v>
      </c>
      <c r="X29" s="32" t="s">
        <v>80</v>
      </c>
      <c r="Y29" s="32"/>
      <c r="Z29" s="32"/>
      <c r="AA29" s="32" t="s">
        <v>72</v>
      </c>
      <c r="AB29" s="32" t="s">
        <v>73</v>
      </c>
      <c r="AC29" s="32" t="s">
        <v>74</v>
      </c>
      <c r="AD29" s="32">
        <v>6776</v>
      </c>
      <c r="AE29" s="32"/>
      <c r="AF29" s="32"/>
      <c r="AG29" s="32"/>
      <c r="AH29" s="32"/>
      <c r="AI29" s="32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</row>
    <row r="30" spans="1:328" s="22" customFormat="1" x14ac:dyDescent="0.3">
      <c r="A30" s="33" t="s">
        <v>150</v>
      </c>
      <c r="B30" s="33">
        <v>1</v>
      </c>
      <c r="C30" s="33" t="s">
        <v>82</v>
      </c>
      <c r="D30" s="32"/>
      <c r="E30" s="33"/>
      <c r="F30" s="32" t="s">
        <v>60</v>
      </c>
      <c r="G30" s="32"/>
      <c r="H30" s="33" t="s">
        <v>77</v>
      </c>
      <c r="I30" s="32" t="s">
        <v>60</v>
      </c>
      <c r="J30" s="33"/>
      <c r="K30" s="33">
        <v>2025</v>
      </c>
      <c r="L30" s="33" t="s">
        <v>62</v>
      </c>
      <c r="M30" s="33" t="s">
        <v>63</v>
      </c>
      <c r="N30" s="33">
        <v>127160</v>
      </c>
      <c r="O30" s="33" t="s">
        <v>88</v>
      </c>
      <c r="P30" s="33" t="s">
        <v>65</v>
      </c>
      <c r="Q30" s="33">
        <v>4</v>
      </c>
      <c r="R30" s="33" t="s">
        <v>66</v>
      </c>
      <c r="S30" s="33" t="s">
        <v>87</v>
      </c>
      <c r="T30" s="33"/>
      <c r="U30" s="33" t="s">
        <v>68</v>
      </c>
      <c r="V30" s="33" t="s">
        <v>69</v>
      </c>
      <c r="W30" s="33" t="s">
        <v>70</v>
      </c>
      <c r="X30" s="33" t="s">
        <v>80</v>
      </c>
      <c r="Y30" s="33"/>
      <c r="Z30" s="33"/>
      <c r="AA30" s="33" t="s">
        <v>72</v>
      </c>
      <c r="AB30" s="33" t="s">
        <v>73</v>
      </c>
      <c r="AC30" s="33" t="s">
        <v>74</v>
      </c>
      <c r="AD30" s="33">
        <v>35862</v>
      </c>
      <c r="AE30" s="33"/>
      <c r="AF30" s="33"/>
      <c r="AG30" s="33"/>
      <c r="AH30" s="33"/>
      <c r="AI30" s="33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</row>
    <row r="31" spans="1:328" s="10" customFormat="1" x14ac:dyDescent="0.3">
      <c r="A31" s="9" t="s">
        <v>150</v>
      </c>
      <c r="B31" s="9">
        <v>2</v>
      </c>
      <c r="C31" s="9" t="s">
        <v>143</v>
      </c>
      <c r="D31" s="9"/>
      <c r="E31" s="9"/>
      <c r="F31" s="9" t="s">
        <v>60</v>
      </c>
      <c r="G31" s="9"/>
      <c r="H31" s="9" t="s">
        <v>61</v>
      </c>
      <c r="I31" s="9" t="s">
        <v>60</v>
      </c>
      <c r="J31" s="9"/>
      <c r="K31" s="9">
        <v>2025</v>
      </c>
      <c r="L31" s="9" t="s">
        <v>62</v>
      </c>
      <c r="M31" s="9" t="s">
        <v>63</v>
      </c>
      <c r="N31" s="9">
        <v>127160</v>
      </c>
      <c r="O31" s="9" t="s">
        <v>64</v>
      </c>
      <c r="P31" s="9" t="s">
        <v>65</v>
      </c>
      <c r="Q31" s="9">
        <v>1</v>
      </c>
      <c r="R31" s="9" t="s">
        <v>66</v>
      </c>
      <c r="S31" s="9" t="s">
        <v>67</v>
      </c>
      <c r="T31" s="9"/>
      <c r="U31" s="9" t="s">
        <v>68</v>
      </c>
      <c r="V31" s="9" t="s">
        <v>69</v>
      </c>
      <c r="W31" s="9" t="s">
        <v>70</v>
      </c>
      <c r="X31" s="9" t="s">
        <v>71</v>
      </c>
      <c r="Y31" s="9"/>
      <c r="Z31" s="9"/>
      <c r="AA31" s="9" t="s">
        <v>72</v>
      </c>
      <c r="AB31" s="9" t="s">
        <v>73</v>
      </c>
      <c r="AC31" s="9" t="s">
        <v>74</v>
      </c>
      <c r="AD31" s="9">
        <v>5998.7539999999999</v>
      </c>
      <c r="AE31" s="9"/>
      <c r="AF31" s="9" t="s">
        <v>75</v>
      </c>
      <c r="AG31" s="9" t="s">
        <v>76</v>
      </c>
      <c r="AH31" s="9" t="s">
        <v>76</v>
      </c>
      <c r="AI31" s="9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</row>
    <row r="32" spans="1:328" s="10" customFormat="1" x14ac:dyDescent="0.3">
      <c r="A32" s="11" t="s">
        <v>150</v>
      </c>
      <c r="B32" s="11">
        <v>2</v>
      </c>
      <c r="C32" s="11" t="s">
        <v>143</v>
      </c>
      <c r="D32" s="9"/>
      <c r="E32" s="11"/>
      <c r="F32" s="11" t="s">
        <v>60</v>
      </c>
      <c r="G32" s="11"/>
      <c r="H32" s="11" t="s">
        <v>77</v>
      </c>
      <c r="I32" s="11" t="s">
        <v>60</v>
      </c>
      <c r="J32" s="11"/>
      <c r="K32" s="11">
        <v>2025</v>
      </c>
      <c r="L32" s="11" t="s">
        <v>62</v>
      </c>
      <c r="M32" s="11" t="s">
        <v>63</v>
      </c>
      <c r="N32" s="11">
        <v>127160</v>
      </c>
      <c r="O32" s="11" t="s">
        <v>64</v>
      </c>
      <c r="P32" s="11" t="s">
        <v>78</v>
      </c>
      <c r="Q32" s="11">
        <v>2025</v>
      </c>
      <c r="R32" s="11" t="s">
        <v>66</v>
      </c>
      <c r="S32" s="11" t="s">
        <v>79</v>
      </c>
      <c r="T32" s="11"/>
      <c r="U32" s="11" t="s">
        <v>68</v>
      </c>
      <c r="V32" s="11" t="s">
        <v>69</v>
      </c>
      <c r="W32" s="11" t="s">
        <v>70</v>
      </c>
      <c r="X32" s="11" t="s">
        <v>80</v>
      </c>
      <c r="Y32" s="11"/>
      <c r="Z32" s="11"/>
      <c r="AA32" s="11" t="s">
        <v>72</v>
      </c>
      <c r="AB32" s="11" t="s">
        <v>73</v>
      </c>
      <c r="AC32" s="11" t="s">
        <v>74</v>
      </c>
      <c r="AD32" s="11">
        <v>38354</v>
      </c>
      <c r="AE32" s="9"/>
      <c r="AF32" s="9" t="s">
        <v>75</v>
      </c>
      <c r="AG32" s="11" t="s">
        <v>81</v>
      </c>
      <c r="AH32" s="11" t="s">
        <v>81</v>
      </c>
      <c r="AI32" s="11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</row>
    <row r="33" spans="1:328" s="13" customFormat="1" x14ac:dyDescent="0.3">
      <c r="A33" s="12" t="s">
        <v>150</v>
      </c>
      <c r="B33" s="12">
        <v>2</v>
      </c>
      <c r="C33" s="12" t="s">
        <v>143</v>
      </c>
      <c r="D33" s="12" t="s">
        <v>89</v>
      </c>
      <c r="E33" s="12" t="s">
        <v>83</v>
      </c>
      <c r="F33" s="12" t="s">
        <v>84</v>
      </c>
      <c r="G33" s="12"/>
      <c r="H33" s="12" t="s">
        <v>61</v>
      </c>
      <c r="I33" s="12" t="s">
        <v>60</v>
      </c>
      <c r="J33" s="12"/>
      <c r="K33" s="12">
        <v>2025</v>
      </c>
      <c r="L33" s="12" t="s">
        <v>62</v>
      </c>
      <c r="M33" s="12" t="s">
        <v>63</v>
      </c>
      <c r="N33" s="12">
        <v>127160</v>
      </c>
      <c r="O33" s="12" t="s">
        <v>64</v>
      </c>
      <c r="P33" s="12" t="s">
        <v>65</v>
      </c>
      <c r="Q33" s="12">
        <v>1</v>
      </c>
      <c r="R33" s="12" t="s">
        <v>66</v>
      </c>
      <c r="S33" s="12" t="s">
        <v>67</v>
      </c>
      <c r="T33" s="12"/>
      <c r="U33" s="12" t="s">
        <v>85</v>
      </c>
      <c r="V33" s="12" t="s">
        <v>69</v>
      </c>
      <c r="W33" s="12" t="s">
        <v>86</v>
      </c>
      <c r="X33" s="12"/>
      <c r="Y33" s="12"/>
      <c r="Z33" s="12"/>
      <c r="AA33" s="12" t="s">
        <v>72</v>
      </c>
      <c r="AB33" s="12" t="s">
        <v>73</v>
      </c>
      <c r="AC33" s="12" t="s">
        <v>74</v>
      </c>
      <c r="AD33" s="12">
        <v>143.202865475951</v>
      </c>
      <c r="AE33" s="12"/>
      <c r="AF33" s="12"/>
      <c r="AG33" s="12"/>
      <c r="AH33" s="12"/>
      <c r="AI33" s="12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</row>
    <row r="34" spans="1:328" s="13" customFormat="1" x14ac:dyDescent="0.3">
      <c r="A34" s="14" t="s">
        <v>150</v>
      </c>
      <c r="B34" s="14">
        <v>2</v>
      </c>
      <c r="C34" s="12" t="s">
        <v>143</v>
      </c>
      <c r="D34" s="12" t="s">
        <v>89</v>
      </c>
      <c r="E34" s="14" t="s">
        <v>83</v>
      </c>
      <c r="F34" s="12" t="s">
        <v>84</v>
      </c>
      <c r="G34" s="12"/>
      <c r="H34" s="14" t="s">
        <v>61</v>
      </c>
      <c r="I34" s="12" t="s">
        <v>60</v>
      </c>
      <c r="J34" s="14"/>
      <c r="K34" s="14">
        <v>2025</v>
      </c>
      <c r="L34" s="14" t="s">
        <v>62</v>
      </c>
      <c r="M34" s="14" t="s">
        <v>63</v>
      </c>
      <c r="N34" s="14">
        <v>127160</v>
      </c>
      <c r="O34" s="14" t="s">
        <v>64</v>
      </c>
      <c r="P34" s="14" t="s">
        <v>65</v>
      </c>
      <c r="Q34" s="14">
        <v>1</v>
      </c>
      <c r="R34" s="14" t="s">
        <v>66</v>
      </c>
      <c r="S34" s="14" t="s">
        <v>87</v>
      </c>
      <c r="T34" s="14"/>
      <c r="U34" s="14" t="s">
        <v>68</v>
      </c>
      <c r="V34" s="14" t="s">
        <v>69</v>
      </c>
      <c r="W34" s="14" t="s">
        <v>70</v>
      </c>
      <c r="X34" s="14"/>
      <c r="Y34" s="14"/>
      <c r="Z34" s="14"/>
      <c r="AA34" s="14" t="s">
        <v>72</v>
      </c>
      <c r="AB34" s="14" t="s">
        <v>73</v>
      </c>
      <c r="AC34" s="14" t="s">
        <v>74</v>
      </c>
      <c r="AD34" s="14">
        <v>523.418731364515</v>
      </c>
      <c r="AE34" s="14"/>
      <c r="AF34" s="14"/>
      <c r="AG34" s="14"/>
      <c r="AH34" s="14"/>
      <c r="AI34" s="1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</row>
    <row r="35" spans="1:328" s="13" customFormat="1" x14ac:dyDescent="0.3">
      <c r="A35" s="12" t="s">
        <v>150</v>
      </c>
      <c r="B35" s="12">
        <v>2</v>
      </c>
      <c r="C35" s="12" t="s">
        <v>143</v>
      </c>
      <c r="D35" s="12" t="s">
        <v>89</v>
      </c>
      <c r="E35" s="12" t="s">
        <v>83</v>
      </c>
      <c r="F35" s="12" t="s">
        <v>84</v>
      </c>
      <c r="G35" s="12"/>
      <c r="H35" s="12" t="s">
        <v>61</v>
      </c>
      <c r="I35" s="12" t="s">
        <v>60</v>
      </c>
      <c r="J35" s="12"/>
      <c r="K35" s="12">
        <v>2025</v>
      </c>
      <c r="L35" s="12" t="s">
        <v>62</v>
      </c>
      <c r="M35" s="12" t="s">
        <v>63</v>
      </c>
      <c r="N35" s="12">
        <v>127160</v>
      </c>
      <c r="O35" s="12" t="s">
        <v>64</v>
      </c>
      <c r="P35" s="12" t="s">
        <v>65</v>
      </c>
      <c r="Q35" s="12">
        <v>2</v>
      </c>
      <c r="R35" s="12" t="s">
        <v>66</v>
      </c>
      <c r="S35" s="12" t="s">
        <v>67</v>
      </c>
      <c r="T35" s="12"/>
      <c r="U35" s="12" t="s">
        <v>85</v>
      </c>
      <c r="V35" s="12" t="s">
        <v>69</v>
      </c>
      <c r="W35" s="12" t="s">
        <v>86</v>
      </c>
      <c r="X35" s="12"/>
      <c r="Y35" s="12"/>
      <c r="Z35" s="12"/>
      <c r="AA35" s="12" t="s">
        <v>72</v>
      </c>
      <c r="AB35" s="12" t="s">
        <v>73</v>
      </c>
      <c r="AC35" s="12" t="s">
        <v>74</v>
      </c>
      <c r="AD35" s="12">
        <v>43.648271853696997</v>
      </c>
      <c r="AE35" s="12"/>
      <c r="AF35" s="12"/>
      <c r="AG35" s="12"/>
      <c r="AH35" s="12"/>
      <c r="AI35" s="12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</row>
    <row r="36" spans="1:328" s="13" customFormat="1" x14ac:dyDescent="0.3">
      <c r="A36" s="14" t="s">
        <v>150</v>
      </c>
      <c r="B36" s="14">
        <v>2</v>
      </c>
      <c r="C36" s="12" t="s">
        <v>143</v>
      </c>
      <c r="D36" s="12" t="s">
        <v>89</v>
      </c>
      <c r="E36" s="14" t="s">
        <v>83</v>
      </c>
      <c r="F36" s="12" t="s">
        <v>84</v>
      </c>
      <c r="G36" s="12"/>
      <c r="H36" s="14" t="s">
        <v>61</v>
      </c>
      <c r="I36" s="12" t="s">
        <v>60</v>
      </c>
      <c r="J36" s="14"/>
      <c r="K36" s="14">
        <v>2025</v>
      </c>
      <c r="L36" s="14" t="s">
        <v>62</v>
      </c>
      <c r="M36" s="14" t="s">
        <v>63</v>
      </c>
      <c r="N36" s="14">
        <v>127160</v>
      </c>
      <c r="O36" s="14" t="s">
        <v>64</v>
      </c>
      <c r="P36" s="14" t="s">
        <v>65</v>
      </c>
      <c r="Q36" s="14">
        <v>2</v>
      </c>
      <c r="R36" s="14" t="s">
        <v>66</v>
      </c>
      <c r="S36" s="14" t="s">
        <v>67</v>
      </c>
      <c r="T36" s="14"/>
      <c r="U36" s="14" t="s">
        <v>68</v>
      </c>
      <c r="V36" s="14" t="s">
        <v>69</v>
      </c>
      <c r="W36" s="14" t="s">
        <v>70</v>
      </c>
      <c r="X36" s="14"/>
      <c r="Y36" s="14"/>
      <c r="Z36" s="14"/>
      <c r="AA36" s="14" t="s">
        <v>72</v>
      </c>
      <c r="AB36" s="14" t="s">
        <v>73</v>
      </c>
      <c r="AC36" s="14" t="s">
        <v>74</v>
      </c>
      <c r="AD36" s="14">
        <v>1819.45994532345</v>
      </c>
      <c r="AE36" s="14"/>
      <c r="AF36" s="14"/>
      <c r="AG36" s="14"/>
      <c r="AH36" s="14"/>
      <c r="AI36" s="14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</row>
    <row r="37" spans="1:328" s="13" customFormat="1" x14ac:dyDescent="0.3">
      <c r="A37" s="12" t="s">
        <v>150</v>
      </c>
      <c r="B37" s="12">
        <v>2</v>
      </c>
      <c r="C37" s="12" t="s">
        <v>143</v>
      </c>
      <c r="D37" s="12" t="s">
        <v>89</v>
      </c>
      <c r="E37" s="12" t="s">
        <v>83</v>
      </c>
      <c r="F37" s="12" t="s">
        <v>84</v>
      </c>
      <c r="G37" s="12"/>
      <c r="H37" s="12" t="s">
        <v>61</v>
      </c>
      <c r="I37" s="12" t="s">
        <v>60</v>
      </c>
      <c r="J37" s="12"/>
      <c r="K37" s="12">
        <v>2025</v>
      </c>
      <c r="L37" s="12" t="s">
        <v>62</v>
      </c>
      <c r="M37" s="12" t="s">
        <v>63</v>
      </c>
      <c r="N37" s="12">
        <v>127160</v>
      </c>
      <c r="O37" s="12" t="s">
        <v>64</v>
      </c>
      <c r="P37" s="12" t="s">
        <v>65</v>
      </c>
      <c r="Q37" s="12">
        <v>2</v>
      </c>
      <c r="R37" s="12" t="s">
        <v>66</v>
      </c>
      <c r="S37" s="12" t="s">
        <v>87</v>
      </c>
      <c r="T37" s="12"/>
      <c r="U37" s="12" t="s">
        <v>68</v>
      </c>
      <c r="V37" s="12" t="s">
        <v>69</v>
      </c>
      <c r="W37" s="12" t="s">
        <v>70</v>
      </c>
      <c r="X37" s="12"/>
      <c r="Y37" s="12"/>
      <c r="Z37" s="12"/>
      <c r="AA37" s="12" t="s">
        <v>72</v>
      </c>
      <c r="AB37" s="12" t="s">
        <v>73</v>
      </c>
      <c r="AC37" s="12" t="s">
        <v>74</v>
      </c>
      <c r="AD37" s="12">
        <v>206.82454807327201</v>
      </c>
      <c r="AE37" s="12"/>
      <c r="AF37" s="12"/>
      <c r="AG37" s="12"/>
      <c r="AH37" s="12"/>
      <c r="AI37" s="12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</row>
    <row r="38" spans="1:328" s="13" customFormat="1" x14ac:dyDescent="0.3">
      <c r="A38" s="14" t="s">
        <v>150</v>
      </c>
      <c r="B38" s="14">
        <v>2</v>
      </c>
      <c r="C38" s="12" t="s">
        <v>143</v>
      </c>
      <c r="D38" s="12" t="s">
        <v>89</v>
      </c>
      <c r="E38" s="14" t="s">
        <v>83</v>
      </c>
      <c r="F38" s="12" t="s">
        <v>84</v>
      </c>
      <c r="G38" s="12"/>
      <c r="H38" s="14" t="s">
        <v>61</v>
      </c>
      <c r="I38" s="12" t="s">
        <v>60</v>
      </c>
      <c r="J38" s="14"/>
      <c r="K38" s="14">
        <v>2025</v>
      </c>
      <c r="L38" s="14" t="s">
        <v>62</v>
      </c>
      <c r="M38" s="14" t="s">
        <v>63</v>
      </c>
      <c r="N38" s="14">
        <v>127160</v>
      </c>
      <c r="O38" s="14" t="s">
        <v>64</v>
      </c>
      <c r="P38" s="14" t="s">
        <v>65</v>
      </c>
      <c r="Q38" s="14">
        <v>3</v>
      </c>
      <c r="R38" s="14" t="s">
        <v>66</v>
      </c>
      <c r="S38" s="14" t="s">
        <v>67</v>
      </c>
      <c r="T38" s="14"/>
      <c r="U38" s="14" t="s">
        <v>68</v>
      </c>
      <c r="V38" s="14" t="s">
        <v>69</v>
      </c>
      <c r="W38" s="14" t="s">
        <v>70</v>
      </c>
      <c r="X38" s="14"/>
      <c r="Y38" s="14"/>
      <c r="Z38" s="14"/>
      <c r="AA38" s="14" t="s">
        <v>72</v>
      </c>
      <c r="AB38" s="14" t="s">
        <v>73</v>
      </c>
      <c r="AC38" s="14" t="s">
        <v>74</v>
      </c>
      <c r="AD38" s="14">
        <v>137.85258721899399</v>
      </c>
      <c r="AE38" s="14"/>
      <c r="AF38" s="14"/>
      <c r="AG38" s="14"/>
      <c r="AH38" s="14"/>
      <c r="AI38" s="14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</row>
    <row r="39" spans="1:328" s="13" customFormat="1" x14ac:dyDescent="0.3">
      <c r="A39" s="12" t="s">
        <v>150</v>
      </c>
      <c r="B39" s="12">
        <v>2</v>
      </c>
      <c r="C39" s="12" t="s">
        <v>143</v>
      </c>
      <c r="D39" s="12" t="s">
        <v>89</v>
      </c>
      <c r="E39" s="12" t="s">
        <v>83</v>
      </c>
      <c r="F39" s="12" t="s">
        <v>84</v>
      </c>
      <c r="G39" s="12"/>
      <c r="H39" s="12" t="s">
        <v>61</v>
      </c>
      <c r="I39" s="12" t="s">
        <v>60</v>
      </c>
      <c r="J39" s="12"/>
      <c r="K39" s="12">
        <v>2025</v>
      </c>
      <c r="L39" s="12" t="s">
        <v>62</v>
      </c>
      <c r="M39" s="12" t="s">
        <v>63</v>
      </c>
      <c r="N39" s="12">
        <v>127160</v>
      </c>
      <c r="O39" s="12" t="s">
        <v>64</v>
      </c>
      <c r="P39" s="12" t="s">
        <v>65</v>
      </c>
      <c r="Q39" s="12">
        <v>3</v>
      </c>
      <c r="R39" s="12" t="s">
        <v>66</v>
      </c>
      <c r="S39" s="12" t="s">
        <v>87</v>
      </c>
      <c r="T39" s="12"/>
      <c r="U39" s="12" t="s">
        <v>68</v>
      </c>
      <c r="V39" s="12" t="s">
        <v>69</v>
      </c>
      <c r="W39" s="12" t="s">
        <v>70</v>
      </c>
      <c r="X39" s="12"/>
      <c r="Y39" s="12"/>
      <c r="Z39" s="12"/>
      <c r="AA39" s="12" t="s">
        <v>72</v>
      </c>
      <c r="AB39" s="12" t="s">
        <v>73</v>
      </c>
      <c r="AC39" s="12" t="s">
        <v>74</v>
      </c>
      <c r="AD39" s="12">
        <v>204.478693815056</v>
      </c>
      <c r="AE39" s="12"/>
      <c r="AF39" s="12"/>
      <c r="AG39" s="12"/>
      <c r="AH39" s="12"/>
      <c r="AI39" s="12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</row>
    <row r="40" spans="1:328" s="13" customFormat="1" x14ac:dyDescent="0.3">
      <c r="A40" s="14" t="s">
        <v>150</v>
      </c>
      <c r="B40" s="14">
        <v>2</v>
      </c>
      <c r="C40" s="12" t="s">
        <v>143</v>
      </c>
      <c r="D40" s="12" t="s">
        <v>89</v>
      </c>
      <c r="E40" s="14" t="s">
        <v>83</v>
      </c>
      <c r="F40" s="12" t="s">
        <v>84</v>
      </c>
      <c r="G40" s="12"/>
      <c r="H40" s="14" t="s">
        <v>61</v>
      </c>
      <c r="I40" s="12" t="s">
        <v>60</v>
      </c>
      <c r="J40" s="14"/>
      <c r="K40" s="14">
        <v>2025</v>
      </c>
      <c r="L40" s="14" t="s">
        <v>62</v>
      </c>
      <c r="M40" s="14" t="s">
        <v>63</v>
      </c>
      <c r="N40" s="14">
        <v>127160</v>
      </c>
      <c r="O40" s="14" t="s">
        <v>64</v>
      </c>
      <c r="P40" s="14" t="s">
        <v>65</v>
      </c>
      <c r="Q40" s="14">
        <v>4</v>
      </c>
      <c r="R40" s="14" t="s">
        <v>66</v>
      </c>
      <c r="S40" s="14" t="s">
        <v>67</v>
      </c>
      <c r="T40" s="14"/>
      <c r="U40" s="14" t="s">
        <v>68</v>
      </c>
      <c r="V40" s="14" t="s">
        <v>69</v>
      </c>
      <c r="W40" s="14" t="s">
        <v>70</v>
      </c>
      <c r="X40" s="14"/>
      <c r="Y40" s="14"/>
      <c r="Z40" s="14"/>
      <c r="AA40" s="14" t="s">
        <v>72</v>
      </c>
      <c r="AB40" s="14" t="s">
        <v>73</v>
      </c>
      <c r="AC40" s="14" t="s">
        <v>74</v>
      </c>
      <c r="AD40" s="14">
        <v>589.621815061554</v>
      </c>
      <c r="AE40" s="14"/>
      <c r="AF40" s="14"/>
      <c r="AG40" s="14"/>
      <c r="AH40" s="14"/>
      <c r="AI40" s="14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</row>
    <row r="41" spans="1:328" s="13" customFormat="1" x14ac:dyDescent="0.3">
      <c r="A41" s="12" t="s">
        <v>150</v>
      </c>
      <c r="B41" s="12">
        <v>2</v>
      </c>
      <c r="C41" s="12" t="s">
        <v>143</v>
      </c>
      <c r="D41" s="12" t="s">
        <v>89</v>
      </c>
      <c r="E41" s="12" t="s">
        <v>83</v>
      </c>
      <c r="F41" s="12" t="s">
        <v>84</v>
      </c>
      <c r="G41" s="12"/>
      <c r="H41" s="12" t="s">
        <v>61</v>
      </c>
      <c r="I41" s="12" t="s">
        <v>60</v>
      </c>
      <c r="J41" s="12"/>
      <c r="K41" s="12">
        <v>2025</v>
      </c>
      <c r="L41" s="12" t="s">
        <v>62</v>
      </c>
      <c r="M41" s="12" t="s">
        <v>63</v>
      </c>
      <c r="N41" s="12">
        <v>127160</v>
      </c>
      <c r="O41" s="12" t="s">
        <v>64</v>
      </c>
      <c r="P41" s="12" t="s">
        <v>65</v>
      </c>
      <c r="Q41" s="12">
        <v>4</v>
      </c>
      <c r="R41" s="12" t="s">
        <v>66</v>
      </c>
      <c r="S41" s="12" t="s">
        <v>87</v>
      </c>
      <c r="T41" s="12"/>
      <c r="U41" s="12" t="s">
        <v>68</v>
      </c>
      <c r="V41" s="12" t="s">
        <v>69</v>
      </c>
      <c r="W41" s="12" t="s">
        <v>70</v>
      </c>
      <c r="X41" s="12"/>
      <c r="Y41" s="12"/>
      <c r="Z41" s="12"/>
      <c r="AA41" s="12" t="s">
        <v>72</v>
      </c>
      <c r="AB41" s="12" t="s">
        <v>73</v>
      </c>
      <c r="AC41" s="12" t="s">
        <v>74</v>
      </c>
      <c r="AD41" s="12">
        <v>227.70649663411601</v>
      </c>
      <c r="AE41" s="12"/>
      <c r="AF41" s="12"/>
      <c r="AG41" s="12"/>
      <c r="AH41" s="12"/>
      <c r="AI41" s="12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</row>
    <row r="42" spans="1:328" s="35" customFormat="1" x14ac:dyDescent="0.3">
      <c r="A42" s="34" t="s">
        <v>150</v>
      </c>
      <c r="B42" s="34">
        <v>2</v>
      </c>
      <c r="C42" s="34" t="s">
        <v>143</v>
      </c>
      <c r="D42" s="34"/>
      <c r="E42" s="34"/>
      <c r="F42" s="34" t="s">
        <v>60</v>
      </c>
      <c r="G42" s="34"/>
      <c r="H42" s="34" t="s">
        <v>61</v>
      </c>
      <c r="I42" s="34" t="s">
        <v>60</v>
      </c>
      <c r="J42" s="34"/>
      <c r="K42" s="34">
        <v>2025</v>
      </c>
      <c r="L42" s="34" t="s">
        <v>62</v>
      </c>
      <c r="M42" s="34" t="s">
        <v>63</v>
      </c>
      <c r="N42" s="34">
        <v>127160</v>
      </c>
      <c r="O42" s="34" t="s">
        <v>88</v>
      </c>
      <c r="P42" s="34" t="s">
        <v>65</v>
      </c>
      <c r="Q42" s="34">
        <v>1</v>
      </c>
      <c r="R42" s="34" t="s">
        <v>66</v>
      </c>
      <c r="S42" s="34" t="s">
        <v>67</v>
      </c>
      <c r="T42" s="34"/>
      <c r="U42" s="34" t="s">
        <v>85</v>
      </c>
      <c r="V42" s="34" t="s">
        <v>69</v>
      </c>
      <c r="W42" s="34" t="s">
        <v>86</v>
      </c>
      <c r="X42" s="34"/>
      <c r="Y42" s="34"/>
      <c r="Z42" s="34"/>
      <c r="AA42" s="34" t="s">
        <v>72</v>
      </c>
      <c r="AB42" s="34" t="s">
        <v>73</v>
      </c>
      <c r="AC42" s="34" t="s">
        <v>74</v>
      </c>
      <c r="AD42" s="34">
        <v>2979</v>
      </c>
      <c r="AE42" s="34"/>
      <c r="AF42" s="34"/>
      <c r="AG42" s="34"/>
      <c r="AH42" s="34"/>
      <c r="AI42" s="34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</row>
    <row r="43" spans="1:328" s="35" customFormat="1" x14ac:dyDescent="0.3">
      <c r="A43" s="36" t="s">
        <v>150</v>
      </c>
      <c r="B43" s="36">
        <v>2</v>
      </c>
      <c r="C43" s="36" t="s">
        <v>143</v>
      </c>
      <c r="D43" s="34"/>
      <c r="E43" s="36"/>
      <c r="F43" s="34" t="s">
        <v>60</v>
      </c>
      <c r="G43" s="34"/>
      <c r="H43" s="36" t="s">
        <v>61</v>
      </c>
      <c r="I43" s="34" t="s">
        <v>60</v>
      </c>
      <c r="J43" s="36"/>
      <c r="K43" s="36">
        <v>2025</v>
      </c>
      <c r="L43" s="36" t="s">
        <v>62</v>
      </c>
      <c r="M43" s="36" t="s">
        <v>63</v>
      </c>
      <c r="N43" s="36">
        <v>127160</v>
      </c>
      <c r="O43" s="36" t="s">
        <v>88</v>
      </c>
      <c r="P43" s="36" t="s">
        <v>65</v>
      </c>
      <c r="Q43" s="36">
        <v>1</v>
      </c>
      <c r="R43" s="36" t="s">
        <v>66</v>
      </c>
      <c r="S43" s="36" t="s">
        <v>87</v>
      </c>
      <c r="T43" s="36"/>
      <c r="U43" s="36" t="s">
        <v>68</v>
      </c>
      <c r="V43" s="36" t="s">
        <v>69</v>
      </c>
      <c r="W43" s="36" t="s">
        <v>70</v>
      </c>
      <c r="X43" s="36"/>
      <c r="Y43" s="36"/>
      <c r="Z43" s="36"/>
      <c r="AA43" s="36" t="s">
        <v>72</v>
      </c>
      <c r="AB43" s="36" t="s">
        <v>73</v>
      </c>
      <c r="AC43" s="36" t="s">
        <v>74</v>
      </c>
      <c r="AD43" s="36">
        <v>10888.5</v>
      </c>
      <c r="AE43" s="36"/>
      <c r="AF43" s="36"/>
      <c r="AG43" s="36"/>
      <c r="AH43" s="36"/>
      <c r="AI43" s="36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</row>
    <row r="44" spans="1:328" s="35" customFormat="1" x14ac:dyDescent="0.3">
      <c r="A44" s="34" t="s">
        <v>150</v>
      </c>
      <c r="B44" s="34">
        <v>2</v>
      </c>
      <c r="C44" s="34" t="s">
        <v>143</v>
      </c>
      <c r="D44" s="34"/>
      <c r="E44" s="34"/>
      <c r="F44" s="34" t="s">
        <v>60</v>
      </c>
      <c r="G44" s="34"/>
      <c r="H44" s="34" t="s">
        <v>61</v>
      </c>
      <c r="I44" s="34" t="s">
        <v>60</v>
      </c>
      <c r="J44" s="34"/>
      <c r="K44" s="34">
        <v>2025</v>
      </c>
      <c r="L44" s="34" t="s">
        <v>62</v>
      </c>
      <c r="M44" s="34" t="s">
        <v>63</v>
      </c>
      <c r="N44" s="34">
        <v>127160</v>
      </c>
      <c r="O44" s="34" t="s">
        <v>88</v>
      </c>
      <c r="P44" s="34" t="s">
        <v>65</v>
      </c>
      <c r="Q44" s="34">
        <v>2</v>
      </c>
      <c r="R44" s="34" t="s">
        <v>66</v>
      </c>
      <c r="S44" s="34" t="s">
        <v>67</v>
      </c>
      <c r="T44" s="34"/>
      <c r="U44" s="34" t="s">
        <v>85</v>
      </c>
      <c r="V44" s="34" t="s">
        <v>69</v>
      </c>
      <c r="W44" s="34" t="s">
        <v>86</v>
      </c>
      <c r="X44" s="34"/>
      <c r="Y44" s="34"/>
      <c r="Z44" s="34"/>
      <c r="AA44" s="34" t="s">
        <v>72</v>
      </c>
      <c r="AB44" s="34" t="s">
        <v>73</v>
      </c>
      <c r="AC44" s="34" t="s">
        <v>74</v>
      </c>
      <c r="AD44" s="34">
        <v>908</v>
      </c>
      <c r="AE44" s="34"/>
      <c r="AF44" s="34"/>
      <c r="AG44" s="34"/>
      <c r="AH44" s="34"/>
      <c r="AI44" s="3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</row>
    <row r="45" spans="1:328" s="35" customFormat="1" x14ac:dyDescent="0.3">
      <c r="A45" s="36" t="s">
        <v>150</v>
      </c>
      <c r="B45" s="36">
        <v>2</v>
      </c>
      <c r="C45" s="36" t="s">
        <v>143</v>
      </c>
      <c r="D45" s="34"/>
      <c r="E45" s="36"/>
      <c r="F45" s="34" t="s">
        <v>60</v>
      </c>
      <c r="G45" s="34"/>
      <c r="H45" s="36" t="s">
        <v>61</v>
      </c>
      <c r="I45" s="34" t="s">
        <v>60</v>
      </c>
      <c r="J45" s="36"/>
      <c r="K45" s="36">
        <v>2025</v>
      </c>
      <c r="L45" s="36" t="s">
        <v>62</v>
      </c>
      <c r="M45" s="36" t="s">
        <v>63</v>
      </c>
      <c r="N45" s="36">
        <v>127160</v>
      </c>
      <c r="O45" s="36" t="s">
        <v>88</v>
      </c>
      <c r="P45" s="36" t="s">
        <v>65</v>
      </c>
      <c r="Q45" s="36">
        <v>2</v>
      </c>
      <c r="R45" s="36" t="s">
        <v>66</v>
      </c>
      <c r="S45" s="36" t="s">
        <v>67</v>
      </c>
      <c r="T45" s="36"/>
      <c r="U45" s="36" t="s">
        <v>68</v>
      </c>
      <c r="V45" s="36" t="s">
        <v>69</v>
      </c>
      <c r="W45" s="36" t="s">
        <v>70</v>
      </c>
      <c r="X45" s="36"/>
      <c r="Y45" s="36"/>
      <c r="Z45" s="36"/>
      <c r="AA45" s="36" t="s">
        <v>72</v>
      </c>
      <c r="AB45" s="36" t="s">
        <v>73</v>
      </c>
      <c r="AC45" s="36" t="s">
        <v>74</v>
      </c>
      <c r="AD45" s="36">
        <v>37849.599999999999</v>
      </c>
      <c r="AE45" s="36"/>
      <c r="AF45" s="36"/>
      <c r="AG45" s="36"/>
      <c r="AH45" s="36"/>
      <c r="AI45" s="36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</row>
    <row r="46" spans="1:328" s="35" customFormat="1" x14ac:dyDescent="0.3">
      <c r="A46" s="34" t="s">
        <v>150</v>
      </c>
      <c r="B46" s="34">
        <v>2</v>
      </c>
      <c r="C46" s="34" t="s">
        <v>143</v>
      </c>
      <c r="D46" s="34"/>
      <c r="E46" s="34"/>
      <c r="F46" s="34" t="s">
        <v>60</v>
      </c>
      <c r="G46" s="34"/>
      <c r="H46" s="34" t="s">
        <v>61</v>
      </c>
      <c r="I46" s="34" t="s">
        <v>60</v>
      </c>
      <c r="J46" s="34"/>
      <c r="K46" s="34">
        <v>2025</v>
      </c>
      <c r="L46" s="34" t="s">
        <v>62</v>
      </c>
      <c r="M46" s="34" t="s">
        <v>63</v>
      </c>
      <c r="N46" s="34">
        <v>127160</v>
      </c>
      <c r="O46" s="34" t="s">
        <v>88</v>
      </c>
      <c r="P46" s="34" t="s">
        <v>65</v>
      </c>
      <c r="Q46" s="34">
        <v>2</v>
      </c>
      <c r="R46" s="34" t="s">
        <v>66</v>
      </c>
      <c r="S46" s="34" t="s">
        <v>87</v>
      </c>
      <c r="T46" s="34"/>
      <c r="U46" s="34" t="s">
        <v>68</v>
      </c>
      <c r="V46" s="34" t="s">
        <v>69</v>
      </c>
      <c r="W46" s="34" t="s">
        <v>70</v>
      </c>
      <c r="X46" s="34"/>
      <c r="Y46" s="34"/>
      <c r="Z46" s="34"/>
      <c r="AA46" s="34" t="s">
        <v>72</v>
      </c>
      <c r="AB46" s="34" t="s">
        <v>73</v>
      </c>
      <c r="AC46" s="34" t="s">
        <v>74</v>
      </c>
      <c r="AD46" s="34">
        <v>4302.5</v>
      </c>
      <c r="AE46" s="34"/>
      <c r="AF46" s="34"/>
      <c r="AG46" s="34"/>
      <c r="AH46" s="34"/>
      <c r="AI46" s="34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</row>
    <row r="47" spans="1:328" s="35" customFormat="1" x14ac:dyDescent="0.3">
      <c r="A47" s="36" t="s">
        <v>150</v>
      </c>
      <c r="B47" s="36">
        <v>2</v>
      </c>
      <c r="C47" s="36" t="s">
        <v>143</v>
      </c>
      <c r="D47" s="34"/>
      <c r="E47" s="36"/>
      <c r="F47" s="34" t="s">
        <v>60</v>
      </c>
      <c r="G47" s="34"/>
      <c r="H47" s="36" t="s">
        <v>61</v>
      </c>
      <c r="I47" s="34" t="s">
        <v>60</v>
      </c>
      <c r="J47" s="36"/>
      <c r="K47" s="36">
        <v>2025</v>
      </c>
      <c r="L47" s="36" t="s">
        <v>62</v>
      </c>
      <c r="M47" s="36" t="s">
        <v>63</v>
      </c>
      <c r="N47" s="36">
        <v>127160</v>
      </c>
      <c r="O47" s="36" t="s">
        <v>88</v>
      </c>
      <c r="P47" s="36" t="s">
        <v>65</v>
      </c>
      <c r="Q47" s="36">
        <v>3</v>
      </c>
      <c r="R47" s="36" t="s">
        <v>66</v>
      </c>
      <c r="S47" s="36" t="s">
        <v>67</v>
      </c>
      <c r="T47" s="36"/>
      <c r="U47" s="36" t="s">
        <v>68</v>
      </c>
      <c r="V47" s="36" t="s">
        <v>69</v>
      </c>
      <c r="W47" s="36" t="s">
        <v>70</v>
      </c>
      <c r="X47" s="36"/>
      <c r="Y47" s="36"/>
      <c r="Z47" s="36"/>
      <c r="AA47" s="36" t="s">
        <v>72</v>
      </c>
      <c r="AB47" s="36" t="s">
        <v>73</v>
      </c>
      <c r="AC47" s="36" t="s">
        <v>74</v>
      </c>
      <c r="AD47" s="36">
        <v>2867.7</v>
      </c>
      <c r="AE47" s="36"/>
      <c r="AF47" s="36"/>
      <c r="AG47" s="36"/>
      <c r="AH47" s="36"/>
      <c r="AI47" s="36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</row>
    <row r="48" spans="1:328" s="35" customFormat="1" x14ac:dyDescent="0.3">
      <c r="A48" s="34" t="s">
        <v>150</v>
      </c>
      <c r="B48" s="34">
        <v>2</v>
      </c>
      <c r="C48" s="34" t="s">
        <v>143</v>
      </c>
      <c r="D48" s="34"/>
      <c r="E48" s="34"/>
      <c r="F48" s="34" t="s">
        <v>60</v>
      </c>
      <c r="G48" s="34"/>
      <c r="H48" s="34" t="s">
        <v>61</v>
      </c>
      <c r="I48" s="34" t="s">
        <v>60</v>
      </c>
      <c r="J48" s="34"/>
      <c r="K48" s="34">
        <v>2025</v>
      </c>
      <c r="L48" s="34" t="s">
        <v>62</v>
      </c>
      <c r="M48" s="34" t="s">
        <v>63</v>
      </c>
      <c r="N48" s="34">
        <v>127160</v>
      </c>
      <c r="O48" s="34" t="s">
        <v>88</v>
      </c>
      <c r="P48" s="34" t="s">
        <v>65</v>
      </c>
      <c r="Q48" s="34">
        <v>3</v>
      </c>
      <c r="R48" s="34" t="s">
        <v>66</v>
      </c>
      <c r="S48" s="34" t="s">
        <v>87</v>
      </c>
      <c r="T48" s="34"/>
      <c r="U48" s="34" t="s">
        <v>68</v>
      </c>
      <c r="V48" s="34" t="s">
        <v>69</v>
      </c>
      <c r="W48" s="34" t="s">
        <v>70</v>
      </c>
      <c r="X48" s="34"/>
      <c r="Y48" s="34"/>
      <c r="Z48" s="34"/>
      <c r="AA48" s="34" t="s">
        <v>72</v>
      </c>
      <c r="AB48" s="34" t="s">
        <v>73</v>
      </c>
      <c r="AC48" s="34" t="s">
        <v>74</v>
      </c>
      <c r="AD48" s="34">
        <v>4253.7</v>
      </c>
      <c r="AE48" s="34"/>
      <c r="AF48" s="34"/>
      <c r="AG48" s="34"/>
      <c r="AH48" s="34"/>
      <c r="AI48" s="34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</row>
    <row r="49" spans="1:328" s="35" customFormat="1" x14ac:dyDescent="0.3">
      <c r="A49" s="36" t="s">
        <v>150</v>
      </c>
      <c r="B49" s="36">
        <v>2</v>
      </c>
      <c r="C49" s="36" t="s">
        <v>143</v>
      </c>
      <c r="D49" s="34"/>
      <c r="E49" s="36"/>
      <c r="F49" s="34" t="s">
        <v>60</v>
      </c>
      <c r="G49" s="34"/>
      <c r="H49" s="36" t="s">
        <v>61</v>
      </c>
      <c r="I49" s="34" t="s">
        <v>60</v>
      </c>
      <c r="J49" s="36"/>
      <c r="K49" s="36">
        <v>2025</v>
      </c>
      <c r="L49" s="36" t="s">
        <v>62</v>
      </c>
      <c r="M49" s="36" t="s">
        <v>63</v>
      </c>
      <c r="N49" s="36">
        <v>127160</v>
      </c>
      <c r="O49" s="36" t="s">
        <v>88</v>
      </c>
      <c r="P49" s="36" t="s">
        <v>65</v>
      </c>
      <c r="Q49" s="36">
        <v>4</v>
      </c>
      <c r="R49" s="36" t="s">
        <v>66</v>
      </c>
      <c r="S49" s="36" t="s">
        <v>67</v>
      </c>
      <c r="T49" s="36"/>
      <c r="U49" s="36" t="s">
        <v>68</v>
      </c>
      <c r="V49" s="36" t="s">
        <v>69</v>
      </c>
      <c r="W49" s="36" t="s">
        <v>70</v>
      </c>
      <c r="X49" s="36"/>
      <c r="Y49" s="36"/>
      <c r="Z49" s="36"/>
      <c r="AA49" s="36" t="s">
        <v>72</v>
      </c>
      <c r="AB49" s="36" t="s">
        <v>73</v>
      </c>
      <c r="AC49" s="36" t="s">
        <v>74</v>
      </c>
      <c r="AD49" s="36">
        <v>12265.7</v>
      </c>
      <c r="AE49" s="36"/>
      <c r="AF49" s="36"/>
      <c r="AG49" s="36"/>
      <c r="AH49" s="36"/>
      <c r="AI49" s="36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</row>
    <row r="50" spans="1:328" s="35" customFormat="1" x14ac:dyDescent="0.3">
      <c r="A50" s="34" t="s">
        <v>150</v>
      </c>
      <c r="B50" s="34">
        <v>2</v>
      </c>
      <c r="C50" s="34" t="s">
        <v>143</v>
      </c>
      <c r="D50" s="34"/>
      <c r="E50" s="34"/>
      <c r="F50" s="34" t="s">
        <v>60</v>
      </c>
      <c r="G50" s="34"/>
      <c r="H50" s="34" t="s">
        <v>61</v>
      </c>
      <c r="I50" s="34" t="s">
        <v>60</v>
      </c>
      <c r="J50" s="34"/>
      <c r="K50" s="34">
        <v>2025</v>
      </c>
      <c r="L50" s="34" t="s">
        <v>62</v>
      </c>
      <c r="M50" s="34" t="s">
        <v>63</v>
      </c>
      <c r="N50" s="34">
        <v>127160</v>
      </c>
      <c r="O50" s="34" t="s">
        <v>88</v>
      </c>
      <c r="P50" s="34" t="s">
        <v>65</v>
      </c>
      <c r="Q50" s="34">
        <v>4</v>
      </c>
      <c r="R50" s="34" t="s">
        <v>66</v>
      </c>
      <c r="S50" s="34" t="s">
        <v>87</v>
      </c>
      <c r="T50" s="34"/>
      <c r="U50" s="34" t="s">
        <v>68</v>
      </c>
      <c r="V50" s="34" t="s">
        <v>69</v>
      </c>
      <c r="W50" s="34" t="s">
        <v>70</v>
      </c>
      <c r="X50" s="34"/>
      <c r="Y50" s="34"/>
      <c r="Z50" s="34"/>
      <c r="AA50" s="34" t="s">
        <v>72</v>
      </c>
      <c r="AB50" s="34" t="s">
        <v>73</v>
      </c>
      <c r="AC50" s="34" t="s">
        <v>74</v>
      </c>
      <c r="AD50" s="34">
        <v>4736.8999999999996</v>
      </c>
      <c r="AE50" s="34"/>
      <c r="AF50" s="34"/>
      <c r="AG50" s="34"/>
      <c r="AH50" s="34"/>
      <c r="AI50" s="34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</row>
    <row r="51" spans="1:328" s="35" customFormat="1" x14ac:dyDescent="0.3">
      <c r="A51" s="36" t="s">
        <v>150</v>
      </c>
      <c r="B51" s="36">
        <v>2</v>
      </c>
      <c r="C51" s="36" t="s">
        <v>143</v>
      </c>
      <c r="D51" s="34"/>
      <c r="E51" s="36"/>
      <c r="F51" s="34" t="s">
        <v>60</v>
      </c>
      <c r="G51" s="34"/>
      <c r="H51" s="36" t="s">
        <v>61</v>
      </c>
      <c r="I51" s="34" t="s">
        <v>60</v>
      </c>
      <c r="J51" s="36"/>
      <c r="K51" s="36">
        <v>2025</v>
      </c>
      <c r="L51" s="36" t="s">
        <v>62</v>
      </c>
      <c r="M51" s="36" t="s">
        <v>63</v>
      </c>
      <c r="N51" s="36">
        <v>127160</v>
      </c>
      <c r="O51" s="36" t="s">
        <v>88</v>
      </c>
      <c r="P51" s="36" t="s">
        <v>65</v>
      </c>
      <c r="Q51" s="36">
        <v>1</v>
      </c>
      <c r="R51" s="36" t="s">
        <v>66</v>
      </c>
      <c r="S51" s="36" t="s">
        <v>67</v>
      </c>
      <c r="T51" s="36"/>
      <c r="U51" s="36" t="s">
        <v>68</v>
      </c>
      <c r="V51" s="36" t="s">
        <v>69</v>
      </c>
      <c r="W51" s="36" t="s">
        <v>70</v>
      </c>
      <c r="X51" s="36" t="s">
        <v>71</v>
      </c>
      <c r="Y51" s="36"/>
      <c r="Z51" s="36"/>
      <c r="AA51" s="36" t="s">
        <v>72</v>
      </c>
      <c r="AB51" s="36" t="s">
        <v>73</v>
      </c>
      <c r="AC51" s="36" t="s">
        <v>74</v>
      </c>
      <c r="AD51" s="36">
        <v>249986.1</v>
      </c>
      <c r="AE51" s="36"/>
      <c r="AF51" s="36"/>
      <c r="AG51" s="36"/>
      <c r="AH51" s="36"/>
      <c r="AI51" s="36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</row>
    <row r="52" spans="1:328" s="35" customFormat="1" x14ac:dyDescent="0.3">
      <c r="A52" s="34" t="s">
        <v>150</v>
      </c>
      <c r="B52" s="34">
        <v>2</v>
      </c>
      <c r="C52" s="34" t="s">
        <v>143</v>
      </c>
      <c r="D52" s="34"/>
      <c r="E52" s="34"/>
      <c r="F52" s="34" t="s">
        <v>60</v>
      </c>
      <c r="G52" s="34"/>
      <c r="H52" s="34" t="s">
        <v>77</v>
      </c>
      <c r="I52" s="34" t="s">
        <v>60</v>
      </c>
      <c r="J52" s="34"/>
      <c r="K52" s="34">
        <v>2025</v>
      </c>
      <c r="L52" s="34" t="s">
        <v>62</v>
      </c>
      <c r="M52" s="34" t="s">
        <v>63</v>
      </c>
      <c r="N52" s="34">
        <v>127160</v>
      </c>
      <c r="O52" s="34" t="s">
        <v>88</v>
      </c>
      <c r="P52" s="34" t="s">
        <v>65</v>
      </c>
      <c r="Q52" s="34">
        <v>1</v>
      </c>
      <c r="R52" s="34" t="s">
        <v>66</v>
      </c>
      <c r="S52" s="34" t="s">
        <v>67</v>
      </c>
      <c r="T52" s="34"/>
      <c r="U52" s="34" t="s">
        <v>68</v>
      </c>
      <c r="V52" s="34" t="s">
        <v>69</v>
      </c>
      <c r="W52" s="34" t="s">
        <v>70</v>
      </c>
      <c r="X52" s="34" t="s">
        <v>80</v>
      </c>
      <c r="Y52" s="34"/>
      <c r="Z52" s="34"/>
      <c r="AA52" s="34" t="s">
        <v>72</v>
      </c>
      <c r="AB52" s="34" t="s">
        <v>73</v>
      </c>
      <c r="AC52" s="34" t="s">
        <v>74</v>
      </c>
      <c r="AD52" s="34">
        <v>129859</v>
      </c>
      <c r="AE52" s="34"/>
      <c r="AF52" s="34"/>
      <c r="AG52" s="34"/>
      <c r="AH52" s="34"/>
      <c r="AI52" s="34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</row>
    <row r="53" spans="1:328" s="35" customFormat="1" x14ac:dyDescent="0.3">
      <c r="A53" s="36" t="s">
        <v>150</v>
      </c>
      <c r="B53" s="36">
        <v>2</v>
      </c>
      <c r="C53" s="36" t="s">
        <v>143</v>
      </c>
      <c r="D53" s="34"/>
      <c r="E53" s="36"/>
      <c r="F53" s="34" t="s">
        <v>60</v>
      </c>
      <c r="G53" s="34"/>
      <c r="H53" s="36" t="s">
        <v>77</v>
      </c>
      <c r="I53" s="34" t="s">
        <v>60</v>
      </c>
      <c r="J53" s="36"/>
      <c r="K53" s="36">
        <v>2025</v>
      </c>
      <c r="L53" s="36" t="s">
        <v>62</v>
      </c>
      <c r="M53" s="36" t="s">
        <v>63</v>
      </c>
      <c r="N53" s="36">
        <v>127160</v>
      </c>
      <c r="O53" s="36" t="s">
        <v>88</v>
      </c>
      <c r="P53" s="36" t="s">
        <v>65</v>
      </c>
      <c r="Q53" s="36">
        <v>1</v>
      </c>
      <c r="R53" s="36" t="s">
        <v>66</v>
      </c>
      <c r="S53" s="36" t="s">
        <v>87</v>
      </c>
      <c r="T53" s="36"/>
      <c r="U53" s="36" t="s">
        <v>68</v>
      </c>
      <c r="V53" s="36" t="s">
        <v>69</v>
      </c>
      <c r="W53" s="36" t="s">
        <v>70</v>
      </c>
      <c r="X53" s="36" t="s">
        <v>80</v>
      </c>
      <c r="Y53" s="36"/>
      <c r="Z53" s="36"/>
      <c r="AA53" s="36" t="s">
        <v>72</v>
      </c>
      <c r="AB53" s="36" t="s">
        <v>73</v>
      </c>
      <c r="AC53" s="36" t="s">
        <v>74</v>
      </c>
      <c r="AD53" s="36">
        <v>21964</v>
      </c>
      <c r="AE53" s="36"/>
      <c r="AF53" s="36"/>
      <c r="AG53" s="36"/>
      <c r="AH53" s="36"/>
      <c r="AI53" s="36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</row>
    <row r="54" spans="1:328" s="35" customFormat="1" x14ac:dyDescent="0.3">
      <c r="A54" s="34" t="s">
        <v>150</v>
      </c>
      <c r="B54" s="34">
        <v>2</v>
      </c>
      <c r="C54" s="34" t="s">
        <v>143</v>
      </c>
      <c r="D54" s="34"/>
      <c r="E54" s="34"/>
      <c r="F54" s="34" t="s">
        <v>60</v>
      </c>
      <c r="G54" s="34"/>
      <c r="H54" s="34" t="s">
        <v>77</v>
      </c>
      <c r="I54" s="34" t="s">
        <v>60</v>
      </c>
      <c r="J54" s="34"/>
      <c r="K54" s="34">
        <v>2025</v>
      </c>
      <c r="L54" s="34" t="s">
        <v>62</v>
      </c>
      <c r="M54" s="34" t="s">
        <v>63</v>
      </c>
      <c r="N54" s="34">
        <v>127160</v>
      </c>
      <c r="O54" s="34" t="s">
        <v>88</v>
      </c>
      <c r="P54" s="34" t="s">
        <v>65</v>
      </c>
      <c r="Q54" s="34">
        <v>2</v>
      </c>
      <c r="R54" s="34" t="s">
        <v>66</v>
      </c>
      <c r="S54" s="34" t="s">
        <v>67</v>
      </c>
      <c r="T54" s="34"/>
      <c r="U54" s="34" t="s">
        <v>68</v>
      </c>
      <c r="V54" s="34" t="s">
        <v>69</v>
      </c>
      <c r="W54" s="34" t="s">
        <v>70</v>
      </c>
      <c r="X54" s="34" t="s">
        <v>80</v>
      </c>
      <c r="Y54" s="34"/>
      <c r="Z54" s="34"/>
      <c r="AA54" s="34" t="s">
        <v>72</v>
      </c>
      <c r="AB54" s="34" t="s">
        <v>73</v>
      </c>
      <c r="AC54" s="34" t="s">
        <v>74</v>
      </c>
      <c r="AD54" s="34">
        <v>189721</v>
      </c>
      <c r="AE54" s="34"/>
      <c r="AF54" s="34"/>
      <c r="AG54" s="34"/>
      <c r="AH54" s="34"/>
      <c r="AI54" s="3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</row>
    <row r="55" spans="1:328" s="35" customFormat="1" x14ac:dyDescent="0.3">
      <c r="A55" s="36" t="s">
        <v>150</v>
      </c>
      <c r="B55" s="36">
        <v>2</v>
      </c>
      <c r="C55" s="36" t="s">
        <v>143</v>
      </c>
      <c r="D55" s="34"/>
      <c r="E55" s="36"/>
      <c r="F55" s="34" t="s">
        <v>60</v>
      </c>
      <c r="G55" s="34"/>
      <c r="H55" s="36" t="s">
        <v>77</v>
      </c>
      <c r="I55" s="34" t="s">
        <v>60</v>
      </c>
      <c r="J55" s="36"/>
      <c r="K55" s="36">
        <v>2025</v>
      </c>
      <c r="L55" s="36" t="s">
        <v>62</v>
      </c>
      <c r="M55" s="36" t="s">
        <v>63</v>
      </c>
      <c r="N55" s="36">
        <v>127160</v>
      </c>
      <c r="O55" s="36" t="s">
        <v>88</v>
      </c>
      <c r="P55" s="36" t="s">
        <v>65</v>
      </c>
      <c r="Q55" s="36">
        <v>2</v>
      </c>
      <c r="R55" s="36" t="s">
        <v>66</v>
      </c>
      <c r="S55" s="36" t="s">
        <v>87</v>
      </c>
      <c r="T55" s="36"/>
      <c r="U55" s="36" t="s">
        <v>68</v>
      </c>
      <c r="V55" s="36" t="s">
        <v>69</v>
      </c>
      <c r="W55" s="36" t="s">
        <v>70</v>
      </c>
      <c r="X55" s="36" t="s">
        <v>80</v>
      </c>
      <c r="Y55" s="36"/>
      <c r="Z55" s="36"/>
      <c r="AA55" s="36" t="s">
        <v>72</v>
      </c>
      <c r="AB55" s="36" t="s">
        <v>73</v>
      </c>
      <c r="AC55" s="36" t="s">
        <v>74</v>
      </c>
      <c r="AD55" s="36">
        <v>136971</v>
      </c>
      <c r="AE55" s="36"/>
      <c r="AF55" s="36"/>
      <c r="AG55" s="36"/>
      <c r="AH55" s="36"/>
      <c r="AI55" s="36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</row>
    <row r="56" spans="1:328" s="35" customFormat="1" x14ac:dyDescent="0.3">
      <c r="A56" s="34" t="s">
        <v>150</v>
      </c>
      <c r="B56" s="34">
        <v>2</v>
      </c>
      <c r="C56" s="34" t="s">
        <v>143</v>
      </c>
      <c r="D56" s="34"/>
      <c r="E56" s="34"/>
      <c r="F56" s="34" t="s">
        <v>60</v>
      </c>
      <c r="G56" s="34"/>
      <c r="H56" s="34" t="s">
        <v>77</v>
      </c>
      <c r="I56" s="34" t="s">
        <v>60</v>
      </c>
      <c r="J56" s="34"/>
      <c r="K56" s="34">
        <v>2025</v>
      </c>
      <c r="L56" s="34" t="s">
        <v>62</v>
      </c>
      <c r="M56" s="34" t="s">
        <v>63</v>
      </c>
      <c r="N56" s="34">
        <v>127160</v>
      </c>
      <c r="O56" s="34" t="s">
        <v>88</v>
      </c>
      <c r="P56" s="34" t="s">
        <v>65</v>
      </c>
      <c r="Q56" s="34">
        <v>3</v>
      </c>
      <c r="R56" s="34" t="s">
        <v>66</v>
      </c>
      <c r="S56" s="34" t="s">
        <v>67</v>
      </c>
      <c r="T56" s="34"/>
      <c r="U56" s="34" t="s">
        <v>68</v>
      </c>
      <c r="V56" s="34" t="s">
        <v>69</v>
      </c>
      <c r="W56" s="34" t="s">
        <v>70</v>
      </c>
      <c r="X56" s="34" t="s">
        <v>80</v>
      </c>
      <c r="Y56" s="34"/>
      <c r="Z56" s="34"/>
      <c r="AA56" s="34" t="s">
        <v>72</v>
      </c>
      <c r="AB56" s="34" t="s">
        <v>73</v>
      </c>
      <c r="AC56" s="34" t="s">
        <v>74</v>
      </c>
      <c r="AD56" s="34">
        <v>27010</v>
      </c>
      <c r="AE56" s="34"/>
      <c r="AF56" s="34"/>
      <c r="AG56" s="34"/>
      <c r="AH56" s="34"/>
      <c r="AI56" s="34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</row>
    <row r="57" spans="1:328" s="35" customFormat="1" x14ac:dyDescent="0.3">
      <c r="A57" s="36" t="s">
        <v>150</v>
      </c>
      <c r="B57" s="36">
        <v>2</v>
      </c>
      <c r="C57" s="36" t="s">
        <v>143</v>
      </c>
      <c r="D57" s="34"/>
      <c r="E57" s="36"/>
      <c r="F57" s="34" t="s">
        <v>60</v>
      </c>
      <c r="G57" s="34"/>
      <c r="H57" s="36" t="s">
        <v>77</v>
      </c>
      <c r="I57" s="34" t="s">
        <v>60</v>
      </c>
      <c r="J57" s="36"/>
      <c r="K57" s="36">
        <v>2025</v>
      </c>
      <c r="L57" s="36" t="s">
        <v>62</v>
      </c>
      <c r="M57" s="36" t="s">
        <v>63</v>
      </c>
      <c r="N57" s="36">
        <v>127160</v>
      </c>
      <c r="O57" s="36" t="s">
        <v>88</v>
      </c>
      <c r="P57" s="36" t="s">
        <v>65</v>
      </c>
      <c r="Q57" s="36">
        <v>3</v>
      </c>
      <c r="R57" s="36" t="s">
        <v>66</v>
      </c>
      <c r="S57" s="36" t="s">
        <v>87</v>
      </c>
      <c r="T57" s="36"/>
      <c r="U57" s="36" t="s">
        <v>68</v>
      </c>
      <c r="V57" s="36" t="s">
        <v>69</v>
      </c>
      <c r="W57" s="36" t="s">
        <v>70</v>
      </c>
      <c r="X57" s="36" t="s">
        <v>80</v>
      </c>
      <c r="Y57" s="36"/>
      <c r="Z57" s="36"/>
      <c r="AA57" s="36" t="s">
        <v>72</v>
      </c>
      <c r="AB57" s="36" t="s">
        <v>73</v>
      </c>
      <c r="AC57" s="36" t="s">
        <v>74</v>
      </c>
      <c r="AD57" s="36">
        <v>124506</v>
      </c>
      <c r="AE57" s="36"/>
      <c r="AF57" s="36"/>
      <c r="AG57" s="36"/>
      <c r="AH57" s="36"/>
      <c r="AI57" s="36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</row>
    <row r="58" spans="1:328" s="35" customFormat="1" x14ac:dyDescent="0.3">
      <c r="A58" s="34" t="s">
        <v>150</v>
      </c>
      <c r="B58" s="34">
        <v>2</v>
      </c>
      <c r="C58" s="34" t="s">
        <v>143</v>
      </c>
      <c r="D58" s="34"/>
      <c r="E58" s="34"/>
      <c r="F58" s="34" t="s">
        <v>60</v>
      </c>
      <c r="G58" s="34"/>
      <c r="H58" s="34" t="s">
        <v>77</v>
      </c>
      <c r="I58" s="34" t="s">
        <v>60</v>
      </c>
      <c r="J58" s="34"/>
      <c r="K58" s="34">
        <v>2025</v>
      </c>
      <c r="L58" s="34" t="s">
        <v>62</v>
      </c>
      <c r="M58" s="34" t="s">
        <v>63</v>
      </c>
      <c r="N58" s="34">
        <v>127160</v>
      </c>
      <c r="O58" s="34" t="s">
        <v>88</v>
      </c>
      <c r="P58" s="34" t="s">
        <v>65</v>
      </c>
      <c r="Q58" s="34">
        <v>4</v>
      </c>
      <c r="R58" s="34" t="s">
        <v>66</v>
      </c>
      <c r="S58" s="34" t="s">
        <v>67</v>
      </c>
      <c r="T58" s="34"/>
      <c r="U58" s="34" t="s">
        <v>68</v>
      </c>
      <c r="V58" s="34" t="s">
        <v>69</v>
      </c>
      <c r="W58" s="34" t="s">
        <v>70</v>
      </c>
      <c r="X58" s="34" t="s">
        <v>80</v>
      </c>
      <c r="Y58" s="34"/>
      <c r="Z58" s="34"/>
      <c r="AA58" s="34" t="s">
        <v>72</v>
      </c>
      <c r="AB58" s="34" t="s">
        <v>73</v>
      </c>
      <c r="AC58" s="34" t="s">
        <v>74</v>
      </c>
      <c r="AD58" s="34">
        <v>6776</v>
      </c>
      <c r="AE58" s="34"/>
      <c r="AF58" s="34"/>
      <c r="AG58" s="34"/>
      <c r="AH58" s="34"/>
      <c r="AI58" s="34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</row>
    <row r="59" spans="1:328" s="35" customFormat="1" x14ac:dyDescent="0.3">
      <c r="A59" s="36" t="s">
        <v>150</v>
      </c>
      <c r="B59" s="36">
        <v>2</v>
      </c>
      <c r="C59" s="36" t="s">
        <v>143</v>
      </c>
      <c r="D59" s="34"/>
      <c r="E59" s="36"/>
      <c r="F59" s="34" t="s">
        <v>60</v>
      </c>
      <c r="G59" s="34"/>
      <c r="H59" s="36" t="s">
        <v>77</v>
      </c>
      <c r="I59" s="34" t="s">
        <v>60</v>
      </c>
      <c r="J59" s="36"/>
      <c r="K59" s="36">
        <v>2025</v>
      </c>
      <c r="L59" s="36" t="s">
        <v>62</v>
      </c>
      <c r="M59" s="36" t="s">
        <v>63</v>
      </c>
      <c r="N59" s="36">
        <v>127160</v>
      </c>
      <c r="O59" s="36" t="s">
        <v>88</v>
      </c>
      <c r="P59" s="36" t="s">
        <v>65</v>
      </c>
      <c r="Q59" s="36">
        <v>4</v>
      </c>
      <c r="R59" s="36" t="s">
        <v>66</v>
      </c>
      <c r="S59" s="36" t="s">
        <v>87</v>
      </c>
      <c r="T59" s="36"/>
      <c r="U59" s="36" t="s">
        <v>68</v>
      </c>
      <c r="V59" s="36" t="s">
        <v>69</v>
      </c>
      <c r="W59" s="36" t="s">
        <v>70</v>
      </c>
      <c r="X59" s="36" t="s">
        <v>80</v>
      </c>
      <c r="Y59" s="36"/>
      <c r="Z59" s="36"/>
      <c r="AA59" s="36" t="s">
        <v>72</v>
      </c>
      <c r="AB59" s="36" t="s">
        <v>73</v>
      </c>
      <c r="AC59" s="36" t="s">
        <v>74</v>
      </c>
      <c r="AD59" s="36">
        <v>35862</v>
      </c>
      <c r="AE59" s="36"/>
      <c r="AF59" s="36"/>
      <c r="AG59" s="36"/>
      <c r="AH59" s="36"/>
      <c r="AI59" s="36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</row>
    <row r="61" spans="1:328" x14ac:dyDescent="0.3">
      <c r="L61" t="s">
        <v>58</v>
      </c>
    </row>
    <row r="62" spans="1:328" x14ac:dyDescent="0.3">
      <c r="A62" s="2" t="s">
        <v>24</v>
      </c>
      <c r="B62" s="2" t="s">
        <v>25</v>
      </c>
      <c r="C62" s="2" t="s">
        <v>142</v>
      </c>
      <c r="D62" s="2" t="s">
        <v>139</v>
      </c>
      <c r="E62" s="2" t="s">
        <v>140</v>
      </c>
      <c r="F62" s="2" t="s">
        <v>26</v>
      </c>
      <c r="G62" s="2"/>
      <c r="H62" s="2" t="s">
        <v>27</v>
      </c>
      <c r="I62" s="2" t="s">
        <v>28</v>
      </c>
      <c r="J62" s="2" t="s">
        <v>29</v>
      </c>
      <c r="K62" s="2" t="s">
        <v>30</v>
      </c>
      <c r="L62" s="2" t="s">
        <v>144</v>
      </c>
      <c r="M62" s="2" t="s">
        <v>31</v>
      </c>
      <c r="N62" s="2" t="s">
        <v>32</v>
      </c>
      <c r="O62" s="2" t="s">
        <v>33</v>
      </c>
      <c r="P62" s="2" t="s">
        <v>34</v>
      </c>
      <c r="Q62" s="2" t="s">
        <v>35</v>
      </c>
      <c r="R62" s="2" t="s">
        <v>36</v>
      </c>
      <c r="S62" s="2" t="s">
        <v>37</v>
      </c>
      <c r="T62" s="2" t="s">
        <v>38</v>
      </c>
      <c r="U62" s="2" t="s">
        <v>39</v>
      </c>
      <c r="V62" s="2" t="s">
        <v>40</v>
      </c>
      <c r="W62" s="2" t="s">
        <v>41</v>
      </c>
      <c r="X62" s="2" t="s">
        <v>42</v>
      </c>
      <c r="Y62" s="2" t="s">
        <v>43</v>
      </c>
      <c r="Z62" s="2" t="s">
        <v>44</v>
      </c>
      <c r="AA62" s="2" t="s">
        <v>59</v>
      </c>
      <c r="AB62" s="2" t="s">
        <v>45</v>
      </c>
      <c r="AC62" s="2" t="s">
        <v>46</v>
      </c>
      <c r="AD62" s="2" t="s">
        <v>47</v>
      </c>
      <c r="AE62" s="2" t="s">
        <v>48</v>
      </c>
      <c r="AF62" s="2" t="s">
        <v>49</v>
      </c>
      <c r="AG62" s="2" t="s">
        <v>50</v>
      </c>
      <c r="AH62" s="2" t="s">
        <v>51</v>
      </c>
      <c r="AI62" s="2" t="s">
        <v>52</v>
      </c>
      <c r="AJ62" s="2" t="s">
        <v>54</v>
      </c>
      <c r="AK62" s="2" t="s">
        <v>55</v>
      </c>
      <c r="AL62" s="2" t="s">
        <v>56</v>
      </c>
      <c r="AM62" s="2" t="s">
        <v>57</v>
      </c>
      <c r="AN62" s="2" t="s">
        <v>149</v>
      </c>
      <c r="AO62" s="30" t="s">
        <v>53</v>
      </c>
    </row>
    <row r="63" spans="1:328" s="7" customFormat="1" x14ac:dyDescent="0.3">
      <c r="A63" s="6" t="s">
        <v>151</v>
      </c>
      <c r="B63" s="6">
        <v>1</v>
      </c>
      <c r="C63" s="6" t="s">
        <v>82</v>
      </c>
      <c r="D63" s="6" t="s">
        <v>90</v>
      </c>
      <c r="E63" s="6" t="s">
        <v>83</v>
      </c>
      <c r="F63" s="6" t="s">
        <v>60</v>
      </c>
      <c r="G63" s="6"/>
      <c r="H63" s="6" t="s">
        <v>61</v>
      </c>
      <c r="I63" s="6" t="s">
        <v>60</v>
      </c>
      <c r="J63" s="6"/>
      <c r="K63" s="6">
        <v>2025</v>
      </c>
      <c r="L63" s="6">
        <v>2025</v>
      </c>
      <c r="M63" s="6" t="s">
        <v>62</v>
      </c>
      <c r="N63" s="6" t="s">
        <v>63</v>
      </c>
      <c r="O63" s="6">
        <v>127160</v>
      </c>
      <c r="P63" s="6" t="s">
        <v>64</v>
      </c>
      <c r="Q63" s="6" t="s">
        <v>65</v>
      </c>
      <c r="R63" s="6">
        <v>1</v>
      </c>
      <c r="S63" s="6" t="s">
        <v>66</v>
      </c>
      <c r="T63" s="6" t="s">
        <v>67</v>
      </c>
      <c r="U63" s="6"/>
      <c r="V63" s="6" t="s">
        <v>68</v>
      </c>
      <c r="W63" s="6" t="s">
        <v>69</v>
      </c>
      <c r="X63" s="6" t="s">
        <v>70</v>
      </c>
      <c r="Y63" s="6" t="s">
        <v>71</v>
      </c>
      <c r="Z63" s="6"/>
      <c r="AA63" s="6"/>
      <c r="AB63" s="6" t="s">
        <v>72</v>
      </c>
      <c r="AC63" s="6" t="s">
        <v>73</v>
      </c>
      <c r="AD63" s="6" t="s">
        <v>74</v>
      </c>
      <c r="AE63" s="6">
        <v>5998.7539999999999</v>
      </c>
      <c r="AF63" s="6"/>
      <c r="AG63" s="6" t="s">
        <v>75</v>
      </c>
      <c r="AH63" s="6" t="s">
        <v>76</v>
      </c>
      <c r="AI63" s="6" t="s">
        <v>76</v>
      </c>
      <c r="AJ63" s="6" t="s">
        <v>88</v>
      </c>
      <c r="AK63" s="6" t="s">
        <v>73</v>
      </c>
      <c r="AL63" s="6" t="s">
        <v>91</v>
      </c>
      <c r="AM63" s="6">
        <f>SUM(AD21)</f>
        <v>4736.8999999999996</v>
      </c>
      <c r="AN63" s="6">
        <f>AE63/AM63</f>
        <v>1.266388144144905</v>
      </c>
      <c r="AO63" s="6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</row>
    <row r="64" spans="1:328" s="7" customFormat="1" x14ac:dyDescent="0.3">
      <c r="A64" s="6" t="s">
        <v>151</v>
      </c>
      <c r="B64" s="6">
        <v>1</v>
      </c>
      <c r="C64" s="6" t="s">
        <v>82</v>
      </c>
      <c r="D64" s="6" t="s">
        <v>90</v>
      </c>
      <c r="E64" s="8" t="s">
        <v>83</v>
      </c>
      <c r="F64" s="6" t="s">
        <v>60</v>
      </c>
      <c r="G64" s="6"/>
      <c r="H64" s="8" t="s">
        <v>77</v>
      </c>
      <c r="I64" s="8" t="s">
        <v>60</v>
      </c>
      <c r="J64" s="8"/>
      <c r="K64" s="8">
        <v>2025</v>
      </c>
      <c r="L64" s="6">
        <v>2025</v>
      </c>
      <c r="M64" s="8" t="s">
        <v>62</v>
      </c>
      <c r="N64" s="8" t="s">
        <v>63</v>
      </c>
      <c r="O64" s="8">
        <v>127160</v>
      </c>
      <c r="P64" s="8" t="s">
        <v>64</v>
      </c>
      <c r="Q64" s="8" t="s">
        <v>78</v>
      </c>
      <c r="R64" s="8">
        <v>2025</v>
      </c>
      <c r="S64" s="8" t="s">
        <v>66</v>
      </c>
      <c r="T64" s="8" t="s">
        <v>79</v>
      </c>
      <c r="U64" s="8"/>
      <c r="V64" s="8" t="s">
        <v>68</v>
      </c>
      <c r="W64" s="8" t="s">
        <v>69</v>
      </c>
      <c r="X64" s="8" t="s">
        <v>70</v>
      </c>
      <c r="Y64" s="8" t="s">
        <v>80</v>
      </c>
      <c r="Z64" s="8"/>
      <c r="AA64" s="8"/>
      <c r="AB64" s="6" t="s">
        <v>72</v>
      </c>
      <c r="AC64" s="6" t="s">
        <v>73</v>
      </c>
      <c r="AD64" s="6" t="s">
        <v>74</v>
      </c>
      <c r="AE64" s="6">
        <v>38354</v>
      </c>
      <c r="AF64" s="6"/>
      <c r="AG64" s="6" t="s">
        <v>75</v>
      </c>
      <c r="AH64" s="6" t="s">
        <v>81</v>
      </c>
      <c r="AI64" s="6" t="s">
        <v>81</v>
      </c>
      <c r="AJ64" s="6" t="s">
        <v>88</v>
      </c>
      <c r="AK64" s="6" t="s">
        <v>73</v>
      </c>
      <c r="AL64" s="6" t="s">
        <v>91</v>
      </c>
      <c r="AM64" s="6">
        <f>SUM(AD22:AD29)</f>
        <v>886793.1</v>
      </c>
      <c r="AN64" s="6">
        <f>AE64/AM64</f>
        <v>4.3250223755687774E-2</v>
      </c>
      <c r="AO64" s="6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</row>
    <row r="65" spans="1:328" s="13" customFormat="1" x14ac:dyDescent="0.3">
      <c r="A65" s="12" t="s">
        <v>151</v>
      </c>
      <c r="B65" s="12">
        <v>2</v>
      </c>
      <c r="C65" s="12" t="s">
        <v>143</v>
      </c>
      <c r="D65" s="12" t="s">
        <v>89</v>
      </c>
      <c r="E65" s="12" t="s">
        <v>83</v>
      </c>
      <c r="F65" s="12" t="s">
        <v>60</v>
      </c>
      <c r="G65" s="12"/>
      <c r="H65" s="12" t="s">
        <v>61</v>
      </c>
      <c r="I65" s="12" t="s">
        <v>60</v>
      </c>
      <c r="J65" s="12"/>
      <c r="K65" s="12">
        <v>2025</v>
      </c>
      <c r="L65" s="12">
        <v>2024</v>
      </c>
      <c r="M65" s="12" t="s">
        <v>62</v>
      </c>
      <c r="N65" s="12" t="s">
        <v>63</v>
      </c>
      <c r="O65" s="12">
        <v>127160</v>
      </c>
      <c r="P65" s="12" t="s">
        <v>64</v>
      </c>
      <c r="Q65" s="12" t="s">
        <v>65</v>
      </c>
      <c r="R65" s="12">
        <v>1</v>
      </c>
      <c r="S65" s="12" t="s">
        <v>66</v>
      </c>
      <c r="T65" s="12" t="s">
        <v>67</v>
      </c>
      <c r="U65" s="12"/>
      <c r="V65" s="12" t="s">
        <v>68</v>
      </c>
      <c r="W65" s="12" t="s">
        <v>69</v>
      </c>
      <c r="X65" s="12" t="s">
        <v>70</v>
      </c>
      <c r="Y65" s="12" t="s">
        <v>71</v>
      </c>
      <c r="Z65" s="12"/>
      <c r="AA65" s="12"/>
      <c r="AB65" s="12" t="s">
        <v>72</v>
      </c>
      <c r="AC65" s="12" t="s">
        <v>73</v>
      </c>
      <c r="AD65" s="12" t="s">
        <v>74</v>
      </c>
      <c r="AE65" s="12">
        <v>5998.7539999999999</v>
      </c>
      <c r="AF65" s="12"/>
      <c r="AG65" s="12" t="s">
        <v>75</v>
      </c>
      <c r="AH65" s="12" t="s">
        <v>76</v>
      </c>
      <c r="AI65" s="12" t="s">
        <v>76</v>
      </c>
      <c r="AJ65" s="12" t="s">
        <v>88</v>
      </c>
      <c r="AK65" s="12" t="s">
        <v>73</v>
      </c>
      <c r="AL65" s="12" t="s">
        <v>91</v>
      </c>
      <c r="AM65" s="12">
        <f>SUM(AD51)</f>
        <v>249986.1</v>
      </c>
      <c r="AN65" s="12">
        <f>AE65/AM65</f>
        <v>2.3996350197070956E-2</v>
      </c>
      <c r="AO65" s="12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92D27-9ACB-4ACB-AC15-04DAC7649379}">
  <dimension ref="A1:LN65"/>
  <sheetViews>
    <sheetView topLeftCell="A11" zoomScale="80" zoomScaleNormal="80" workbookViewId="0">
      <selection activeCell="C2" sqref="C2:C59"/>
    </sheetView>
  </sheetViews>
  <sheetFormatPr defaultRowHeight="14.4" x14ac:dyDescent="0.3"/>
  <cols>
    <col min="1" max="1" width="10.77734375" bestFit="1" customWidth="1"/>
    <col min="2" max="2" width="7.44140625" customWidth="1"/>
    <col min="3" max="3" width="41" bestFit="1" customWidth="1"/>
    <col min="4" max="4" width="27.21875" bestFit="1" customWidth="1"/>
    <col min="5" max="5" width="25.5546875" bestFit="1" customWidth="1"/>
    <col min="6" max="6" width="9" bestFit="1" customWidth="1"/>
    <col min="7" max="7" width="9.33203125" customWidth="1"/>
    <col min="8" max="8" width="17.44140625" bestFit="1" customWidth="1"/>
    <col min="9" max="9" width="12.33203125" bestFit="1" customWidth="1"/>
    <col min="10" max="10" width="13.21875" bestFit="1" customWidth="1"/>
    <col min="11" max="11" width="5" bestFit="1" customWidth="1"/>
    <col min="12" max="13" width="13.33203125" bestFit="1" customWidth="1"/>
    <col min="14" max="14" width="12.44140625" bestFit="1" customWidth="1"/>
    <col min="15" max="16" width="13.77734375" bestFit="1" customWidth="1"/>
    <col min="17" max="18" width="12.109375" bestFit="1" customWidth="1"/>
    <col min="19" max="19" width="11.21875" bestFit="1" customWidth="1"/>
    <col min="20" max="21" width="24" bestFit="1" customWidth="1"/>
    <col min="22" max="22" width="17.44140625" bestFit="1" customWidth="1"/>
    <col min="23" max="23" width="21" bestFit="1" customWidth="1"/>
    <col min="24" max="25" width="28.5546875" bestFit="1" customWidth="1"/>
    <col min="26" max="26" width="16.5546875" bestFit="1" customWidth="1"/>
    <col min="27" max="27" width="17.6640625" bestFit="1" customWidth="1"/>
    <col min="28" max="28" width="18.77734375" bestFit="1" customWidth="1"/>
    <col min="29" max="29" width="16.109375" bestFit="1" customWidth="1"/>
    <col min="30" max="30" width="12" bestFit="1" customWidth="1"/>
    <col min="31" max="31" width="8.33203125" bestFit="1" customWidth="1"/>
    <col min="32" max="32" width="9.6640625" bestFit="1" customWidth="1"/>
    <col min="33" max="33" width="9.33203125" bestFit="1" customWidth="1"/>
    <col min="34" max="34" width="9.109375" bestFit="1" customWidth="1"/>
    <col min="35" max="35" width="9.33203125" bestFit="1" customWidth="1"/>
    <col min="36" max="36" width="17.44140625" bestFit="1" customWidth="1"/>
    <col min="37" max="37" width="19" bestFit="1" customWidth="1"/>
    <col min="38" max="38" width="16.109375" bestFit="1" customWidth="1"/>
    <col min="39" max="39" width="9.5546875" bestFit="1" customWidth="1"/>
  </cols>
  <sheetData>
    <row r="1" spans="1:326" x14ac:dyDescent="0.3">
      <c r="A1" s="2" t="s">
        <v>24</v>
      </c>
      <c r="B1" s="2" t="s">
        <v>25</v>
      </c>
      <c r="C1" s="2" t="s">
        <v>142</v>
      </c>
      <c r="D1" s="2" t="s">
        <v>139</v>
      </c>
      <c r="E1" s="2" t="s">
        <v>140</v>
      </c>
      <c r="F1" s="2" t="s">
        <v>26</v>
      </c>
      <c r="G1" s="2"/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  <c r="Z1" s="2" t="s">
        <v>59</v>
      </c>
      <c r="AA1" s="2" t="s">
        <v>45</v>
      </c>
      <c r="AB1" s="2" t="s">
        <v>46</v>
      </c>
      <c r="AC1" s="2" t="s">
        <v>47</v>
      </c>
      <c r="AD1" s="2" t="s">
        <v>48</v>
      </c>
      <c r="AE1" s="2" t="s">
        <v>49</v>
      </c>
      <c r="AF1" s="2" t="s">
        <v>50</v>
      </c>
      <c r="AG1" s="2" t="s">
        <v>51</v>
      </c>
      <c r="AH1" s="2" t="s">
        <v>52</v>
      </c>
      <c r="AI1" s="2" t="s">
        <v>53</v>
      </c>
    </row>
    <row r="2" spans="1:326" s="4" customFormat="1" x14ac:dyDescent="0.3">
      <c r="A2" s="3" t="s">
        <v>150</v>
      </c>
      <c r="B2" s="3">
        <v>1</v>
      </c>
      <c r="C2" s="3" t="s">
        <v>82</v>
      </c>
      <c r="D2" s="3"/>
      <c r="E2" s="3"/>
      <c r="F2" s="3" t="s">
        <v>60</v>
      </c>
      <c r="G2" s="3"/>
      <c r="H2" s="3" t="s">
        <v>61</v>
      </c>
      <c r="I2" s="3" t="s">
        <v>60</v>
      </c>
      <c r="J2" s="3"/>
      <c r="K2" s="3">
        <v>2025</v>
      </c>
      <c r="L2" s="3" t="s">
        <v>62</v>
      </c>
      <c r="M2" s="3" t="s">
        <v>63</v>
      </c>
      <c r="N2" s="3">
        <v>127160</v>
      </c>
      <c r="O2" s="3" t="s">
        <v>64</v>
      </c>
      <c r="P2" s="3" t="s">
        <v>65</v>
      </c>
      <c r="Q2" s="3">
        <v>1</v>
      </c>
      <c r="R2" s="3" t="s">
        <v>66</v>
      </c>
      <c r="S2" s="3" t="s">
        <v>67</v>
      </c>
      <c r="T2" s="3"/>
      <c r="U2" s="3" t="s">
        <v>68</v>
      </c>
      <c r="V2" s="3" t="s">
        <v>69</v>
      </c>
      <c r="W2" s="3" t="s">
        <v>70</v>
      </c>
      <c r="X2" s="3" t="s">
        <v>71</v>
      </c>
      <c r="Y2" s="3"/>
      <c r="Z2" s="3"/>
      <c r="AA2" s="3" t="s">
        <v>72</v>
      </c>
      <c r="AB2" s="3" t="s">
        <v>73</v>
      </c>
      <c r="AC2" s="3" t="s">
        <v>74</v>
      </c>
      <c r="AD2" s="3">
        <v>5998.7539999999999</v>
      </c>
      <c r="AE2" s="3"/>
      <c r="AF2" s="3" t="s">
        <v>75</v>
      </c>
      <c r="AG2" s="3" t="s">
        <v>76</v>
      </c>
      <c r="AH2" s="3" t="s">
        <v>76</v>
      </c>
      <c r="AI2" s="3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</row>
    <row r="3" spans="1:326" s="4" customFormat="1" x14ac:dyDescent="0.3">
      <c r="A3" s="5" t="s">
        <v>150</v>
      </c>
      <c r="B3" s="5">
        <v>1</v>
      </c>
      <c r="C3" s="5" t="s">
        <v>82</v>
      </c>
      <c r="D3" s="3"/>
      <c r="E3" s="5"/>
      <c r="F3" s="5" t="s">
        <v>60</v>
      </c>
      <c r="G3" s="5"/>
      <c r="H3" s="5" t="s">
        <v>77</v>
      </c>
      <c r="I3" s="5" t="s">
        <v>60</v>
      </c>
      <c r="J3" s="5"/>
      <c r="K3" s="5">
        <v>2025</v>
      </c>
      <c r="L3" s="5" t="s">
        <v>62</v>
      </c>
      <c r="M3" s="5" t="s">
        <v>63</v>
      </c>
      <c r="N3" s="5">
        <v>127160</v>
      </c>
      <c r="O3" s="5" t="s">
        <v>64</v>
      </c>
      <c r="P3" s="5" t="s">
        <v>78</v>
      </c>
      <c r="Q3" s="5">
        <v>2025</v>
      </c>
      <c r="R3" s="5" t="s">
        <v>66</v>
      </c>
      <c r="S3" s="5" t="s">
        <v>79</v>
      </c>
      <c r="T3" s="5"/>
      <c r="U3" s="5" t="s">
        <v>68</v>
      </c>
      <c r="V3" s="5" t="s">
        <v>69</v>
      </c>
      <c r="W3" s="5" t="s">
        <v>70</v>
      </c>
      <c r="X3" s="5" t="s">
        <v>80</v>
      </c>
      <c r="Y3" s="5"/>
      <c r="Z3" s="5"/>
      <c r="AA3" s="5" t="s">
        <v>72</v>
      </c>
      <c r="AB3" s="5" t="s">
        <v>73</v>
      </c>
      <c r="AC3" s="5" t="s">
        <v>74</v>
      </c>
      <c r="AD3" s="5">
        <v>38354</v>
      </c>
      <c r="AE3" s="3"/>
      <c r="AF3" s="3" t="s">
        <v>75</v>
      </c>
      <c r="AG3" s="5" t="s">
        <v>81</v>
      </c>
      <c r="AH3" s="5" t="s">
        <v>81</v>
      </c>
      <c r="AI3" s="5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</row>
    <row r="4" spans="1:326" s="7" customFormat="1" x14ac:dyDescent="0.3">
      <c r="A4" s="6" t="s">
        <v>150</v>
      </c>
      <c r="B4" s="6">
        <v>1</v>
      </c>
      <c r="C4" s="6" t="s">
        <v>82</v>
      </c>
      <c r="D4" s="6" t="s">
        <v>82</v>
      </c>
      <c r="E4" s="6" t="s">
        <v>83</v>
      </c>
      <c r="F4" s="6" t="s">
        <v>84</v>
      </c>
      <c r="G4" s="6"/>
      <c r="H4" s="6" t="s">
        <v>61</v>
      </c>
      <c r="I4" s="6" t="s">
        <v>60</v>
      </c>
      <c r="J4" s="6"/>
      <c r="K4" s="6">
        <v>2025</v>
      </c>
      <c r="L4" s="6" t="s">
        <v>62</v>
      </c>
      <c r="M4" s="6" t="s">
        <v>63</v>
      </c>
      <c r="N4" s="6">
        <v>127160</v>
      </c>
      <c r="O4" s="6" t="s">
        <v>64</v>
      </c>
      <c r="P4" s="6" t="s">
        <v>65</v>
      </c>
      <c r="Q4" s="6">
        <v>1</v>
      </c>
      <c r="R4" s="6" t="s">
        <v>66</v>
      </c>
      <c r="S4" s="6" t="s">
        <v>67</v>
      </c>
      <c r="T4" s="6"/>
      <c r="U4" s="6" t="s">
        <v>85</v>
      </c>
      <c r="V4" s="6" t="s">
        <v>69</v>
      </c>
      <c r="W4" s="6" t="s">
        <v>86</v>
      </c>
      <c r="X4" s="6"/>
      <c r="Y4" s="6"/>
      <c r="Z4" s="6"/>
      <c r="AA4" s="6" t="s">
        <v>72</v>
      </c>
      <c r="AB4" s="6" t="s">
        <v>73</v>
      </c>
      <c r="AC4" s="6" t="s">
        <v>74</v>
      </c>
      <c r="AD4" s="6">
        <v>143.202865475951</v>
      </c>
      <c r="AE4" s="6"/>
      <c r="AF4" s="6"/>
      <c r="AG4" s="6"/>
      <c r="AH4" s="6"/>
      <c r="AI4" s="6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</row>
    <row r="5" spans="1:326" s="7" customFormat="1" x14ac:dyDescent="0.3">
      <c r="A5" s="8" t="s">
        <v>150</v>
      </c>
      <c r="B5" s="8">
        <v>1</v>
      </c>
      <c r="C5" s="6" t="s">
        <v>82</v>
      </c>
      <c r="D5" s="6" t="s">
        <v>82</v>
      </c>
      <c r="E5" s="8" t="s">
        <v>83</v>
      </c>
      <c r="F5" s="6" t="s">
        <v>84</v>
      </c>
      <c r="G5" s="6"/>
      <c r="H5" s="8" t="s">
        <v>61</v>
      </c>
      <c r="I5" s="6" t="s">
        <v>60</v>
      </c>
      <c r="J5" s="8"/>
      <c r="K5" s="8">
        <v>2025</v>
      </c>
      <c r="L5" s="8" t="s">
        <v>62</v>
      </c>
      <c r="M5" s="8" t="s">
        <v>63</v>
      </c>
      <c r="N5" s="8">
        <v>127160</v>
      </c>
      <c r="O5" s="8" t="s">
        <v>64</v>
      </c>
      <c r="P5" s="8" t="s">
        <v>65</v>
      </c>
      <c r="Q5" s="8">
        <v>1</v>
      </c>
      <c r="R5" s="8" t="s">
        <v>66</v>
      </c>
      <c r="S5" s="8" t="s">
        <v>87</v>
      </c>
      <c r="T5" s="8"/>
      <c r="U5" s="8" t="s">
        <v>68</v>
      </c>
      <c r="V5" s="8" t="s">
        <v>69</v>
      </c>
      <c r="W5" s="8" t="s">
        <v>70</v>
      </c>
      <c r="X5" s="8"/>
      <c r="Y5" s="8"/>
      <c r="Z5" s="8"/>
      <c r="AA5" s="8" t="s">
        <v>72</v>
      </c>
      <c r="AB5" s="8" t="s">
        <v>73</v>
      </c>
      <c r="AC5" s="8" t="s">
        <v>74</v>
      </c>
      <c r="AD5" s="8">
        <v>523.418731364515</v>
      </c>
      <c r="AE5" s="8"/>
      <c r="AF5" s="8"/>
      <c r="AG5" s="8"/>
      <c r="AH5" s="8"/>
      <c r="AI5" s="8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</row>
    <row r="6" spans="1:326" s="7" customFormat="1" x14ac:dyDescent="0.3">
      <c r="A6" s="6" t="s">
        <v>150</v>
      </c>
      <c r="B6" s="6">
        <v>1</v>
      </c>
      <c r="C6" s="6" t="s">
        <v>82</v>
      </c>
      <c r="D6" s="6" t="s">
        <v>82</v>
      </c>
      <c r="E6" s="6" t="s">
        <v>83</v>
      </c>
      <c r="F6" s="6" t="s">
        <v>84</v>
      </c>
      <c r="G6" s="6"/>
      <c r="H6" s="6" t="s">
        <v>61</v>
      </c>
      <c r="I6" s="6" t="s">
        <v>60</v>
      </c>
      <c r="J6" s="6"/>
      <c r="K6" s="6">
        <v>2025</v>
      </c>
      <c r="L6" s="6" t="s">
        <v>62</v>
      </c>
      <c r="M6" s="6" t="s">
        <v>63</v>
      </c>
      <c r="N6" s="6">
        <v>127160</v>
      </c>
      <c r="O6" s="6" t="s">
        <v>64</v>
      </c>
      <c r="P6" s="6" t="s">
        <v>65</v>
      </c>
      <c r="Q6" s="6">
        <v>2</v>
      </c>
      <c r="R6" s="6" t="s">
        <v>66</v>
      </c>
      <c r="S6" s="6" t="s">
        <v>67</v>
      </c>
      <c r="T6" s="6"/>
      <c r="U6" s="6" t="s">
        <v>85</v>
      </c>
      <c r="V6" s="6" t="s">
        <v>69</v>
      </c>
      <c r="W6" s="6" t="s">
        <v>86</v>
      </c>
      <c r="X6" s="6"/>
      <c r="Y6" s="6"/>
      <c r="Z6" s="6"/>
      <c r="AA6" s="6" t="s">
        <v>72</v>
      </c>
      <c r="AB6" s="6" t="s">
        <v>73</v>
      </c>
      <c r="AC6" s="6" t="s">
        <v>74</v>
      </c>
      <c r="AD6" s="6">
        <v>43.648271853696997</v>
      </c>
      <c r="AE6" s="6"/>
      <c r="AF6" s="6"/>
      <c r="AG6" s="6"/>
      <c r="AH6" s="6"/>
      <c r="AI6" s="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</row>
    <row r="7" spans="1:326" s="7" customFormat="1" x14ac:dyDescent="0.3">
      <c r="A7" s="8" t="s">
        <v>150</v>
      </c>
      <c r="B7" s="8">
        <v>1</v>
      </c>
      <c r="C7" s="6" t="s">
        <v>82</v>
      </c>
      <c r="D7" s="6" t="s">
        <v>82</v>
      </c>
      <c r="E7" s="8" t="s">
        <v>83</v>
      </c>
      <c r="F7" s="6" t="s">
        <v>84</v>
      </c>
      <c r="G7" s="6"/>
      <c r="H7" s="8" t="s">
        <v>61</v>
      </c>
      <c r="I7" s="6" t="s">
        <v>60</v>
      </c>
      <c r="J7" s="8"/>
      <c r="K7" s="8">
        <v>2025</v>
      </c>
      <c r="L7" s="8" t="s">
        <v>62</v>
      </c>
      <c r="M7" s="8" t="s">
        <v>63</v>
      </c>
      <c r="N7" s="8">
        <v>127160</v>
      </c>
      <c r="O7" s="8" t="s">
        <v>64</v>
      </c>
      <c r="P7" s="8" t="s">
        <v>65</v>
      </c>
      <c r="Q7" s="8">
        <v>2</v>
      </c>
      <c r="R7" s="8" t="s">
        <v>66</v>
      </c>
      <c r="S7" s="8" t="s">
        <v>67</v>
      </c>
      <c r="T7" s="8"/>
      <c r="U7" s="8" t="s">
        <v>68</v>
      </c>
      <c r="V7" s="8" t="s">
        <v>69</v>
      </c>
      <c r="W7" s="8" t="s">
        <v>70</v>
      </c>
      <c r="X7" s="8"/>
      <c r="Y7" s="8"/>
      <c r="Z7" s="8"/>
      <c r="AA7" s="8" t="s">
        <v>72</v>
      </c>
      <c r="AB7" s="8" t="s">
        <v>73</v>
      </c>
      <c r="AC7" s="8" t="s">
        <v>74</v>
      </c>
      <c r="AD7" s="8">
        <v>1819.45994532345</v>
      </c>
      <c r="AE7" s="8"/>
      <c r="AF7" s="8"/>
      <c r="AG7" s="8"/>
      <c r="AH7" s="8"/>
      <c r="AI7" s="8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</row>
    <row r="8" spans="1:326" s="7" customFormat="1" x14ac:dyDescent="0.3">
      <c r="A8" s="6" t="s">
        <v>150</v>
      </c>
      <c r="B8" s="6">
        <v>1</v>
      </c>
      <c r="C8" s="6" t="s">
        <v>82</v>
      </c>
      <c r="D8" s="6" t="s">
        <v>82</v>
      </c>
      <c r="E8" s="6" t="s">
        <v>83</v>
      </c>
      <c r="F8" s="6" t="s">
        <v>84</v>
      </c>
      <c r="G8" s="6"/>
      <c r="H8" s="6" t="s">
        <v>61</v>
      </c>
      <c r="I8" s="6" t="s">
        <v>60</v>
      </c>
      <c r="J8" s="6"/>
      <c r="K8" s="6">
        <v>2025</v>
      </c>
      <c r="L8" s="6" t="s">
        <v>62</v>
      </c>
      <c r="M8" s="6" t="s">
        <v>63</v>
      </c>
      <c r="N8" s="6">
        <v>127160</v>
      </c>
      <c r="O8" s="6" t="s">
        <v>64</v>
      </c>
      <c r="P8" s="6" t="s">
        <v>65</v>
      </c>
      <c r="Q8" s="6">
        <v>2</v>
      </c>
      <c r="R8" s="6" t="s">
        <v>66</v>
      </c>
      <c r="S8" s="6" t="s">
        <v>87</v>
      </c>
      <c r="T8" s="6"/>
      <c r="U8" s="6" t="s">
        <v>68</v>
      </c>
      <c r="V8" s="6" t="s">
        <v>69</v>
      </c>
      <c r="W8" s="6" t="s">
        <v>70</v>
      </c>
      <c r="X8" s="6"/>
      <c r="Y8" s="6"/>
      <c r="Z8" s="6"/>
      <c r="AA8" s="6" t="s">
        <v>72</v>
      </c>
      <c r="AB8" s="6" t="s">
        <v>73</v>
      </c>
      <c r="AC8" s="6" t="s">
        <v>74</v>
      </c>
      <c r="AD8" s="6">
        <v>206.82454807327201</v>
      </c>
      <c r="AE8" s="6"/>
      <c r="AF8" s="6"/>
      <c r="AG8" s="6"/>
      <c r="AH8" s="6"/>
      <c r="AI8" s="6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</row>
    <row r="9" spans="1:326" s="7" customFormat="1" x14ac:dyDescent="0.3">
      <c r="A9" s="8" t="s">
        <v>150</v>
      </c>
      <c r="B9" s="8">
        <v>1</v>
      </c>
      <c r="C9" s="6" t="s">
        <v>82</v>
      </c>
      <c r="D9" s="6" t="s">
        <v>82</v>
      </c>
      <c r="E9" s="8" t="s">
        <v>83</v>
      </c>
      <c r="F9" s="6" t="s">
        <v>84</v>
      </c>
      <c r="G9" s="6"/>
      <c r="H9" s="8" t="s">
        <v>61</v>
      </c>
      <c r="I9" s="6" t="s">
        <v>60</v>
      </c>
      <c r="J9" s="8"/>
      <c r="K9" s="8">
        <v>2025</v>
      </c>
      <c r="L9" s="8" t="s">
        <v>62</v>
      </c>
      <c r="M9" s="8" t="s">
        <v>63</v>
      </c>
      <c r="N9" s="8">
        <v>127160</v>
      </c>
      <c r="O9" s="8" t="s">
        <v>64</v>
      </c>
      <c r="P9" s="8" t="s">
        <v>65</v>
      </c>
      <c r="Q9" s="8">
        <v>3</v>
      </c>
      <c r="R9" s="8" t="s">
        <v>66</v>
      </c>
      <c r="S9" s="8" t="s">
        <v>67</v>
      </c>
      <c r="T9" s="8"/>
      <c r="U9" s="8" t="s">
        <v>68</v>
      </c>
      <c r="V9" s="8" t="s">
        <v>69</v>
      </c>
      <c r="W9" s="8" t="s">
        <v>70</v>
      </c>
      <c r="X9" s="8"/>
      <c r="Y9" s="8"/>
      <c r="Z9" s="8"/>
      <c r="AA9" s="8" t="s">
        <v>72</v>
      </c>
      <c r="AB9" s="8" t="s">
        <v>73</v>
      </c>
      <c r="AC9" s="8" t="s">
        <v>74</v>
      </c>
      <c r="AD9" s="8">
        <v>137.85258721899399</v>
      </c>
      <c r="AE9" s="8"/>
      <c r="AF9" s="8"/>
      <c r="AG9" s="8"/>
      <c r="AH9" s="8"/>
      <c r="AI9" s="8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</row>
    <row r="10" spans="1:326" s="7" customFormat="1" x14ac:dyDescent="0.3">
      <c r="A10" s="6" t="s">
        <v>150</v>
      </c>
      <c r="B10" s="6">
        <v>1</v>
      </c>
      <c r="C10" s="6" t="s">
        <v>82</v>
      </c>
      <c r="D10" s="6" t="s">
        <v>82</v>
      </c>
      <c r="E10" s="6" t="s">
        <v>83</v>
      </c>
      <c r="F10" s="6" t="s">
        <v>84</v>
      </c>
      <c r="G10" s="6"/>
      <c r="H10" s="6" t="s">
        <v>61</v>
      </c>
      <c r="I10" s="6" t="s">
        <v>60</v>
      </c>
      <c r="J10" s="6"/>
      <c r="K10" s="6">
        <v>2025</v>
      </c>
      <c r="L10" s="6" t="s">
        <v>62</v>
      </c>
      <c r="M10" s="6" t="s">
        <v>63</v>
      </c>
      <c r="N10" s="6">
        <v>127160</v>
      </c>
      <c r="O10" s="6" t="s">
        <v>64</v>
      </c>
      <c r="P10" s="6" t="s">
        <v>65</v>
      </c>
      <c r="Q10" s="6">
        <v>3</v>
      </c>
      <c r="R10" s="6" t="s">
        <v>66</v>
      </c>
      <c r="S10" s="6" t="s">
        <v>87</v>
      </c>
      <c r="T10" s="6"/>
      <c r="U10" s="6" t="s">
        <v>68</v>
      </c>
      <c r="V10" s="6" t="s">
        <v>69</v>
      </c>
      <c r="W10" s="6" t="s">
        <v>70</v>
      </c>
      <c r="X10" s="6"/>
      <c r="Y10" s="6"/>
      <c r="Z10" s="6"/>
      <c r="AA10" s="6" t="s">
        <v>72</v>
      </c>
      <c r="AB10" s="6" t="s">
        <v>73</v>
      </c>
      <c r="AC10" s="6" t="s">
        <v>74</v>
      </c>
      <c r="AD10" s="6">
        <v>204.478693815056</v>
      </c>
      <c r="AE10" s="6"/>
      <c r="AF10" s="6"/>
      <c r="AG10" s="6"/>
      <c r="AH10" s="6"/>
      <c r="AI10" s="6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</row>
    <row r="11" spans="1:326" s="7" customFormat="1" x14ac:dyDescent="0.3">
      <c r="A11" s="8" t="s">
        <v>150</v>
      </c>
      <c r="B11" s="8">
        <v>1</v>
      </c>
      <c r="C11" s="6" t="s">
        <v>82</v>
      </c>
      <c r="D11" s="6" t="s">
        <v>82</v>
      </c>
      <c r="E11" s="8" t="s">
        <v>83</v>
      </c>
      <c r="F11" s="6" t="s">
        <v>84</v>
      </c>
      <c r="G11" s="6"/>
      <c r="H11" s="8" t="s">
        <v>61</v>
      </c>
      <c r="I11" s="6" t="s">
        <v>60</v>
      </c>
      <c r="J11" s="8"/>
      <c r="K11" s="8">
        <v>2025</v>
      </c>
      <c r="L11" s="8" t="s">
        <v>62</v>
      </c>
      <c r="M11" s="8" t="s">
        <v>63</v>
      </c>
      <c r="N11" s="8">
        <v>127160</v>
      </c>
      <c r="O11" s="8" t="s">
        <v>64</v>
      </c>
      <c r="P11" s="8" t="s">
        <v>65</v>
      </c>
      <c r="Q11" s="8">
        <v>4</v>
      </c>
      <c r="R11" s="8" t="s">
        <v>66</v>
      </c>
      <c r="S11" s="8" t="s">
        <v>67</v>
      </c>
      <c r="T11" s="8"/>
      <c r="U11" s="8" t="s">
        <v>68</v>
      </c>
      <c r="V11" s="8" t="s">
        <v>69</v>
      </c>
      <c r="W11" s="8" t="s">
        <v>70</v>
      </c>
      <c r="X11" s="8"/>
      <c r="Y11" s="8"/>
      <c r="Z11" s="8"/>
      <c r="AA11" s="8" t="s">
        <v>72</v>
      </c>
      <c r="AB11" s="8" t="s">
        <v>73</v>
      </c>
      <c r="AC11" s="8" t="s">
        <v>74</v>
      </c>
      <c r="AD11" s="8">
        <v>589.621815061554</v>
      </c>
      <c r="AE11" s="8"/>
      <c r="AF11" s="8"/>
      <c r="AG11" s="8"/>
      <c r="AH11" s="8"/>
      <c r="AI11" s="8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</row>
    <row r="12" spans="1:326" s="7" customFormat="1" x14ac:dyDescent="0.3">
      <c r="A12" s="6" t="s">
        <v>150</v>
      </c>
      <c r="B12" s="6">
        <v>1</v>
      </c>
      <c r="C12" s="6" t="s">
        <v>82</v>
      </c>
      <c r="D12" s="6" t="s">
        <v>82</v>
      </c>
      <c r="E12" s="6" t="s">
        <v>83</v>
      </c>
      <c r="F12" s="6" t="s">
        <v>84</v>
      </c>
      <c r="G12" s="6"/>
      <c r="H12" s="6" t="s">
        <v>61</v>
      </c>
      <c r="I12" s="6" t="s">
        <v>60</v>
      </c>
      <c r="J12" s="6"/>
      <c r="K12" s="6">
        <v>2025</v>
      </c>
      <c r="L12" s="6" t="s">
        <v>62</v>
      </c>
      <c r="M12" s="6" t="s">
        <v>63</v>
      </c>
      <c r="N12" s="6">
        <v>127160</v>
      </c>
      <c r="O12" s="6" t="s">
        <v>64</v>
      </c>
      <c r="P12" s="6" t="s">
        <v>65</v>
      </c>
      <c r="Q12" s="6">
        <v>4</v>
      </c>
      <c r="R12" s="6" t="s">
        <v>66</v>
      </c>
      <c r="S12" s="6" t="s">
        <v>87</v>
      </c>
      <c r="T12" s="6"/>
      <c r="U12" s="6" t="s">
        <v>68</v>
      </c>
      <c r="V12" s="6" t="s">
        <v>69</v>
      </c>
      <c r="W12" s="6" t="s">
        <v>70</v>
      </c>
      <c r="X12" s="6"/>
      <c r="Y12" s="6"/>
      <c r="Z12" s="6"/>
      <c r="AA12" s="6" t="s">
        <v>72</v>
      </c>
      <c r="AB12" s="6" t="s">
        <v>73</v>
      </c>
      <c r="AC12" s="6" t="s">
        <v>74</v>
      </c>
      <c r="AD12" s="6">
        <v>227.70649663411601</v>
      </c>
      <c r="AE12" s="6"/>
      <c r="AF12" s="6"/>
      <c r="AG12" s="6"/>
      <c r="AH12" s="6"/>
      <c r="AI12" s="6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</row>
    <row r="13" spans="1:326" s="22" customFormat="1" x14ac:dyDescent="0.3">
      <c r="A13" s="32" t="s">
        <v>150</v>
      </c>
      <c r="B13" s="32">
        <v>1</v>
      </c>
      <c r="C13" s="32" t="s">
        <v>82</v>
      </c>
      <c r="D13" s="32"/>
      <c r="E13" s="32"/>
      <c r="F13" s="32" t="s">
        <v>60</v>
      </c>
      <c r="G13" s="32"/>
      <c r="H13" s="32" t="s">
        <v>61</v>
      </c>
      <c r="I13" s="32" t="s">
        <v>60</v>
      </c>
      <c r="J13" s="32"/>
      <c r="K13" s="32">
        <v>2025</v>
      </c>
      <c r="L13" s="32" t="s">
        <v>62</v>
      </c>
      <c r="M13" s="32" t="s">
        <v>63</v>
      </c>
      <c r="N13" s="32">
        <v>127160</v>
      </c>
      <c r="O13" s="32" t="s">
        <v>88</v>
      </c>
      <c r="P13" s="32" t="s">
        <v>65</v>
      </c>
      <c r="Q13" s="32">
        <v>1</v>
      </c>
      <c r="R13" s="32" t="s">
        <v>66</v>
      </c>
      <c r="S13" s="32" t="s">
        <v>67</v>
      </c>
      <c r="T13" s="32"/>
      <c r="U13" s="32" t="s">
        <v>85</v>
      </c>
      <c r="V13" s="32" t="s">
        <v>69</v>
      </c>
      <c r="W13" s="32" t="s">
        <v>86</v>
      </c>
      <c r="X13" s="32"/>
      <c r="Y13" s="32"/>
      <c r="Z13" s="32"/>
      <c r="AA13" s="32" t="s">
        <v>72</v>
      </c>
      <c r="AB13" s="32" t="s">
        <v>73</v>
      </c>
      <c r="AC13" s="32" t="s">
        <v>74</v>
      </c>
      <c r="AD13" s="32">
        <v>2979</v>
      </c>
      <c r="AE13" s="32"/>
      <c r="AF13" s="32"/>
      <c r="AG13" s="32"/>
      <c r="AH13" s="32"/>
      <c r="AI13" s="32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</row>
    <row r="14" spans="1:326" s="22" customFormat="1" x14ac:dyDescent="0.3">
      <c r="A14" s="33" t="s">
        <v>150</v>
      </c>
      <c r="B14" s="33">
        <v>1</v>
      </c>
      <c r="C14" s="33" t="s">
        <v>82</v>
      </c>
      <c r="D14" s="32"/>
      <c r="E14" s="33"/>
      <c r="F14" s="32" t="s">
        <v>60</v>
      </c>
      <c r="G14" s="32"/>
      <c r="H14" s="33" t="s">
        <v>61</v>
      </c>
      <c r="I14" s="32" t="s">
        <v>60</v>
      </c>
      <c r="J14" s="33"/>
      <c r="K14" s="33">
        <v>2025</v>
      </c>
      <c r="L14" s="33" t="s">
        <v>62</v>
      </c>
      <c r="M14" s="33" t="s">
        <v>63</v>
      </c>
      <c r="N14" s="33">
        <v>127160</v>
      </c>
      <c r="O14" s="33" t="s">
        <v>88</v>
      </c>
      <c r="P14" s="33" t="s">
        <v>65</v>
      </c>
      <c r="Q14" s="33">
        <v>1</v>
      </c>
      <c r="R14" s="33" t="s">
        <v>66</v>
      </c>
      <c r="S14" s="33" t="s">
        <v>87</v>
      </c>
      <c r="T14" s="33"/>
      <c r="U14" s="33" t="s">
        <v>68</v>
      </c>
      <c r="V14" s="33" t="s">
        <v>69</v>
      </c>
      <c r="W14" s="33" t="s">
        <v>70</v>
      </c>
      <c r="X14" s="33"/>
      <c r="Y14" s="33"/>
      <c r="Z14" s="33"/>
      <c r="AA14" s="33" t="s">
        <v>72</v>
      </c>
      <c r="AB14" s="33" t="s">
        <v>73</v>
      </c>
      <c r="AC14" s="33" t="s">
        <v>74</v>
      </c>
      <c r="AD14" s="33">
        <v>10888.5</v>
      </c>
      <c r="AE14" s="33"/>
      <c r="AF14" s="33"/>
      <c r="AG14" s="33"/>
      <c r="AH14" s="33"/>
      <c r="AI14" s="33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</row>
    <row r="15" spans="1:326" s="22" customFormat="1" x14ac:dyDescent="0.3">
      <c r="A15" s="32" t="s">
        <v>150</v>
      </c>
      <c r="B15" s="32">
        <v>1</v>
      </c>
      <c r="C15" s="32" t="s">
        <v>82</v>
      </c>
      <c r="D15" s="32"/>
      <c r="E15" s="32"/>
      <c r="F15" s="32" t="s">
        <v>60</v>
      </c>
      <c r="G15" s="32"/>
      <c r="H15" s="32" t="s">
        <v>61</v>
      </c>
      <c r="I15" s="32" t="s">
        <v>60</v>
      </c>
      <c r="J15" s="32"/>
      <c r="K15" s="32">
        <v>2025</v>
      </c>
      <c r="L15" s="32" t="s">
        <v>62</v>
      </c>
      <c r="M15" s="32" t="s">
        <v>63</v>
      </c>
      <c r="N15" s="32">
        <v>127160</v>
      </c>
      <c r="O15" s="32" t="s">
        <v>88</v>
      </c>
      <c r="P15" s="32" t="s">
        <v>65</v>
      </c>
      <c r="Q15" s="32">
        <v>2</v>
      </c>
      <c r="R15" s="32" t="s">
        <v>66</v>
      </c>
      <c r="S15" s="32" t="s">
        <v>67</v>
      </c>
      <c r="T15" s="32"/>
      <c r="U15" s="32" t="s">
        <v>85</v>
      </c>
      <c r="V15" s="32" t="s">
        <v>69</v>
      </c>
      <c r="W15" s="32" t="s">
        <v>86</v>
      </c>
      <c r="X15" s="32"/>
      <c r="Y15" s="32"/>
      <c r="Z15" s="32"/>
      <c r="AA15" s="32" t="s">
        <v>72</v>
      </c>
      <c r="AB15" s="32" t="s">
        <v>73</v>
      </c>
      <c r="AC15" s="32" t="s">
        <v>74</v>
      </c>
      <c r="AD15" s="32">
        <v>908</v>
      </c>
      <c r="AE15" s="32"/>
      <c r="AF15" s="32"/>
      <c r="AG15" s="32"/>
      <c r="AH15" s="32"/>
      <c r="AI15" s="32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</row>
    <row r="16" spans="1:326" s="22" customFormat="1" x14ac:dyDescent="0.3">
      <c r="A16" s="33" t="s">
        <v>150</v>
      </c>
      <c r="B16" s="33">
        <v>1</v>
      </c>
      <c r="C16" s="33" t="s">
        <v>82</v>
      </c>
      <c r="D16" s="32"/>
      <c r="E16" s="33"/>
      <c r="F16" s="32" t="s">
        <v>60</v>
      </c>
      <c r="G16" s="32"/>
      <c r="H16" s="33" t="s">
        <v>61</v>
      </c>
      <c r="I16" s="32" t="s">
        <v>60</v>
      </c>
      <c r="J16" s="33"/>
      <c r="K16" s="33">
        <v>2025</v>
      </c>
      <c r="L16" s="33" t="s">
        <v>62</v>
      </c>
      <c r="M16" s="33" t="s">
        <v>63</v>
      </c>
      <c r="N16" s="33">
        <v>127160</v>
      </c>
      <c r="O16" s="33" t="s">
        <v>88</v>
      </c>
      <c r="P16" s="33" t="s">
        <v>65</v>
      </c>
      <c r="Q16" s="33">
        <v>2</v>
      </c>
      <c r="R16" s="33" t="s">
        <v>66</v>
      </c>
      <c r="S16" s="33" t="s">
        <v>67</v>
      </c>
      <c r="T16" s="33"/>
      <c r="U16" s="33" t="s">
        <v>68</v>
      </c>
      <c r="V16" s="33" t="s">
        <v>69</v>
      </c>
      <c r="W16" s="33" t="s">
        <v>70</v>
      </c>
      <c r="X16" s="33"/>
      <c r="Y16" s="33"/>
      <c r="Z16" s="33"/>
      <c r="AA16" s="33" t="s">
        <v>72</v>
      </c>
      <c r="AB16" s="33" t="s">
        <v>73</v>
      </c>
      <c r="AC16" s="33" t="s">
        <v>74</v>
      </c>
      <c r="AD16" s="33">
        <v>37849.599999999999</v>
      </c>
      <c r="AE16" s="33"/>
      <c r="AF16" s="33"/>
      <c r="AG16" s="33"/>
      <c r="AH16" s="33"/>
      <c r="AI16" s="33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</row>
    <row r="17" spans="1:326" s="22" customFormat="1" x14ac:dyDescent="0.3">
      <c r="A17" s="32" t="s">
        <v>150</v>
      </c>
      <c r="B17" s="32">
        <v>1</v>
      </c>
      <c r="C17" s="32" t="s">
        <v>82</v>
      </c>
      <c r="D17" s="32"/>
      <c r="E17" s="32"/>
      <c r="F17" s="32" t="s">
        <v>60</v>
      </c>
      <c r="G17" s="32"/>
      <c r="H17" s="32" t="s">
        <v>61</v>
      </c>
      <c r="I17" s="32" t="s">
        <v>60</v>
      </c>
      <c r="J17" s="32"/>
      <c r="K17" s="32">
        <v>2025</v>
      </c>
      <c r="L17" s="32" t="s">
        <v>62</v>
      </c>
      <c r="M17" s="32" t="s">
        <v>63</v>
      </c>
      <c r="N17" s="32">
        <v>127160</v>
      </c>
      <c r="O17" s="32" t="s">
        <v>88</v>
      </c>
      <c r="P17" s="32" t="s">
        <v>65</v>
      </c>
      <c r="Q17" s="32">
        <v>2</v>
      </c>
      <c r="R17" s="32" t="s">
        <v>66</v>
      </c>
      <c r="S17" s="32" t="s">
        <v>87</v>
      </c>
      <c r="T17" s="32"/>
      <c r="U17" s="32" t="s">
        <v>68</v>
      </c>
      <c r="V17" s="32" t="s">
        <v>69</v>
      </c>
      <c r="W17" s="32" t="s">
        <v>70</v>
      </c>
      <c r="X17" s="32"/>
      <c r="Y17" s="32"/>
      <c r="Z17" s="32"/>
      <c r="AA17" s="32" t="s">
        <v>72</v>
      </c>
      <c r="AB17" s="32" t="s">
        <v>73</v>
      </c>
      <c r="AC17" s="32" t="s">
        <v>74</v>
      </c>
      <c r="AD17" s="32">
        <v>4302.5</v>
      </c>
      <c r="AE17" s="32"/>
      <c r="AF17" s="32"/>
      <c r="AG17" s="32"/>
      <c r="AH17" s="32"/>
      <c r="AI17" s="32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</row>
    <row r="18" spans="1:326" s="22" customFormat="1" x14ac:dyDescent="0.3">
      <c r="A18" s="33" t="s">
        <v>150</v>
      </c>
      <c r="B18" s="33">
        <v>1</v>
      </c>
      <c r="C18" s="33" t="s">
        <v>82</v>
      </c>
      <c r="D18" s="32"/>
      <c r="E18" s="33"/>
      <c r="F18" s="32" t="s">
        <v>60</v>
      </c>
      <c r="G18" s="32"/>
      <c r="H18" s="33" t="s">
        <v>61</v>
      </c>
      <c r="I18" s="32" t="s">
        <v>60</v>
      </c>
      <c r="J18" s="33"/>
      <c r="K18" s="33">
        <v>2025</v>
      </c>
      <c r="L18" s="33" t="s">
        <v>62</v>
      </c>
      <c r="M18" s="33" t="s">
        <v>63</v>
      </c>
      <c r="N18" s="33">
        <v>127160</v>
      </c>
      <c r="O18" s="33" t="s">
        <v>88</v>
      </c>
      <c r="P18" s="33" t="s">
        <v>65</v>
      </c>
      <c r="Q18" s="33">
        <v>3</v>
      </c>
      <c r="R18" s="33" t="s">
        <v>66</v>
      </c>
      <c r="S18" s="33" t="s">
        <v>67</v>
      </c>
      <c r="T18" s="33"/>
      <c r="U18" s="33" t="s">
        <v>68</v>
      </c>
      <c r="V18" s="33" t="s">
        <v>69</v>
      </c>
      <c r="W18" s="33" t="s">
        <v>70</v>
      </c>
      <c r="X18" s="33"/>
      <c r="Y18" s="33"/>
      <c r="Z18" s="33"/>
      <c r="AA18" s="33" t="s">
        <v>72</v>
      </c>
      <c r="AB18" s="33" t="s">
        <v>73</v>
      </c>
      <c r="AC18" s="33" t="s">
        <v>74</v>
      </c>
      <c r="AD18" s="33">
        <v>2867.7</v>
      </c>
      <c r="AE18" s="33"/>
      <c r="AF18" s="33"/>
      <c r="AG18" s="33"/>
      <c r="AH18" s="33"/>
      <c r="AI18" s="33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</row>
    <row r="19" spans="1:326" s="22" customFormat="1" x14ac:dyDescent="0.3">
      <c r="A19" s="32" t="s">
        <v>150</v>
      </c>
      <c r="B19" s="32">
        <v>1</v>
      </c>
      <c r="C19" s="32" t="s">
        <v>82</v>
      </c>
      <c r="D19" s="32"/>
      <c r="E19" s="32"/>
      <c r="F19" s="32" t="s">
        <v>60</v>
      </c>
      <c r="G19" s="32"/>
      <c r="H19" s="32" t="s">
        <v>61</v>
      </c>
      <c r="I19" s="32" t="s">
        <v>60</v>
      </c>
      <c r="J19" s="32"/>
      <c r="K19" s="32">
        <v>2025</v>
      </c>
      <c r="L19" s="32" t="s">
        <v>62</v>
      </c>
      <c r="M19" s="32" t="s">
        <v>63</v>
      </c>
      <c r="N19" s="32">
        <v>127160</v>
      </c>
      <c r="O19" s="32" t="s">
        <v>88</v>
      </c>
      <c r="P19" s="32" t="s">
        <v>65</v>
      </c>
      <c r="Q19" s="32">
        <v>3</v>
      </c>
      <c r="R19" s="32" t="s">
        <v>66</v>
      </c>
      <c r="S19" s="32" t="s">
        <v>87</v>
      </c>
      <c r="T19" s="32"/>
      <c r="U19" s="32" t="s">
        <v>68</v>
      </c>
      <c r="V19" s="32" t="s">
        <v>69</v>
      </c>
      <c r="W19" s="32" t="s">
        <v>70</v>
      </c>
      <c r="X19" s="32"/>
      <c r="Y19" s="32"/>
      <c r="Z19" s="32"/>
      <c r="AA19" s="32" t="s">
        <v>72</v>
      </c>
      <c r="AB19" s="32" t="s">
        <v>73</v>
      </c>
      <c r="AC19" s="32" t="s">
        <v>74</v>
      </c>
      <c r="AD19" s="32">
        <v>4253.7</v>
      </c>
      <c r="AE19" s="32"/>
      <c r="AF19" s="32"/>
      <c r="AG19" s="32"/>
      <c r="AH19" s="32"/>
      <c r="AI19" s="32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</row>
    <row r="20" spans="1:326" s="22" customFormat="1" x14ac:dyDescent="0.3">
      <c r="A20" s="33" t="s">
        <v>150</v>
      </c>
      <c r="B20" s="33">
        <v>1</v>
      </c>
      <c r="C20" s="33" t="s">
        <v>82</v>
      </c>
      <c r="D20" s="32"/>
      <c r="E20" s="33"/>
      <c r="F20" s="32" t="s">
        <v>60</v>
      </c>
      <c r="G20" s="32"/>
      <c r="H20" s="33" t="s">
        <v>61</v>
      </c>
      <c r="I20" s="32" t="s">
        <v>60</v>
      </c>
      <c r="J20" s="33"/>
      <c r="K20" s="33">
        <v>2025</v>
      </c>
      <c r="L20" s="33" t="s">
        <v>62</v>
      </c>
      <c r="M20" s="33" t="s">
        <v>63</v>
      </c>
      <c r="N20" s="33">
        <v>127160</v>
      </c>
      <c r="O20" s="33" t="s">
        <v>88</v>
      </c>
      <c r="P20" s="33" t="s">
        <v>65</v>
      </c>
      <c r="Q20" s="33">
        <v>4</v>
      </c>
      <c r="R20" s="33" t="s">
        <v>66</v>
      </c>
      <c r="S20" s="33" t="s">
        <v>67</v>
      </c>
      <c r="T20" s="33"/>
      <c r="U20" s="33" t="s">
        <v>68</v>
      </c>
      <c r="V20" s="33" t="s">
        <v>69</v>
      </c>
      <c r="W20" s="33" t="s">
        <v>70</v>
      </c>
      <c r="X20" s="33"/>
      <c r="Y20" s="33"/>
      <c r="Z20" s="33"/>
      <c r="AA20" s="33" t="s">
        <v>72</v>
      </c>
      <c r="AB20" s="33" t="s">
        <v>73</v>
      </c>
      <c r="AC20" s="33" t="s">
        <v>74</v>
      </c>
      <c r="AD20" s="33">
        <v>12265.7</v>
      </c>
      <c r="AE20" s="33"/>
      <c r="AF20" s="33"/>
      <c r="AG20" s="33"/>
      <c r="AH20" s="33"/>
      <c r="AI20" s="33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</row>
    <row r="21" spans="1:326" s="22" customFormat="1" x14ac:dyDescent="0.3">
      <c r="A21" s="32" t="s">
        <v>150</v>
      </c>
      <c r="B21" s="32">
        <v>1</v>
      </c>
      <c r="C21" s="32" t="s">
        <v>82</v>
      </c>
      <c r="D21" s="32"/>
      <c r="E21" s="32"/>
      <c r="F21" s="32" t="s">
        <v>60</v>
      </c>
      <c r="G21" s="32"/>
      <c r="H21" s="32" t="s">
        <v>61</v>
      </c>
      <c r="I21" s="32" t="s">
        <v>60</v>
      </c>
      <c r="J21" s="32"/>
      <c r="K21" s="32">
        <v>2025</v>
      </c>
      <c r="L21" s="32" t="s">
        <v>62</v>
      </c>
      <c r="M21" s="32" t="s">
        <v>63</v>
      </c>
      <c r="N21" s="32">
        <v>127160</v>
      </c>
      <c r="O21" s="32" t="s">
        <v>88</v>
      </c>
      <c r="P21" s="32" t="s">
        <v>65</v>
      </c>
      <c r="Q21" s="32">
        <v>4</v>
      </c>
      <c r="R21" s="32" t="s">
        <v>66</v>
      </c>
      <c r="S21" s="32" t="s">
        <v>87</v>
      </c>
      <c r="T21" s="32"/>
      <c r="U21" s="32" t="s">
        <v>68</v>
      </c>
      <c r="V21" s="32" t="s">
        <v>69</v>
      </c>
      <c r="W21" s="32" t="s">
        <v>70</v>
      </c>
      <c r="X21" s="32"/>
      <c r="Y21" s="32"/>
      <c r="Z21" s="32"/>
      <c r="AA21" s="32" t="s">
        <v>72</v>
      </c>
      <c r="AB21" s="32" t="s">
        <v>73</v>
      </c>
      <c r="AC21" s="32" t="s">
        <v>74</v>
      </c>
      <c r="AD21" s="32">
        <v>4736.8999999999996</v>
      </c>
      <c r="AE21" s="32"/>
      <c r="AF21" s="32"/>
      <c r="AG21" s="32"/>
      <c r="AH21" s="32"/>
      <c r="AI21" s="32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</row>
    <row r="22" spans="1:326" s="22" customFormat="1" x14ac:dyDescent="0.3">
      <c r="A22" s="33" t="s">
        <v>150</v>
      </c>
      <c r="B22" s="33">
        <v>1</v>
      </c>
      <c r="C22" s="33" t="s">
        <v>82</v>
      </c>
      <c r="D22" s="32"/>
      <c r="E22" s="33"/>
      <c r="F22" s="32" t="s">
        <v>60</v>
      </c>
      <c r="G22" s="32"/>
      <c r="H22" s="33" t="s">
        <v>61</v>
      </c>
      <c r="I22" s="32" t="s">
        <v>60</v>
      </c>
      <c r="J22" s="33"/>
      <c r="K22" s="33">
        <v>2025</v>
      </c>
      <c r="L22" s="33" t="s">
        <v>62</v>
      </c>
      <c r="M22" s="33" t="s">
        <v>63</v>
      </c>
      <c r="N22" s="33">
        <v>127160</v>
      </c>
      <c r="O22" s="33" t="s">
        <v>88</v>
      </c>
      <c r="P22" s="33" t="s">
        <v>65</v>
      </c>
      <c r="Q22" s="33">
        <v>1</v>
      </c>
      <c r="R22" s="33" t="s">
        <v>66</v>
      </c>
      <c r="S22" s="33" t="s">
        <v>67</v>
      </c>
      <c r="T22" s="33"/>
      <c r="U22" s="33" t="s">
        <v>68</v>
      </c>
      <c r="V22" s="33" t="s">
        <v>69</v>
      </c>
      <c r="W22" s="33" t="s">
        <v>70</v>
      </c>
      <c r="X22" s="33" t="s">
        <v>71</v>
      </c>
      <c r="Y22" s="33"/>
      <c r="Z22" s="33"/>
      <c r="AA22" s="33" t="s">
        <v>72</v>
      </c>
      <c r="AB22" s="33" t="s">
        <v>73</v>
      </c>
      <c r="AC22" s="33" t="s">
        <v>74</v>
      </c>
      <c r="AD22" s="33">
        <v>249986.1</v>
      </c>
      <c r="AE22" s="33"/>
      <c r="AF22" s="33"/>
      <c r="AG22" s="33"/>
      <c r="AH22" s="33"/>
      <c r="AI22" s="33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</row>
    <row r="23" spans="1:326" s="22" customFormat="1" x14ac:dyDescent="0.3">
      <c r="A23" s="32" t="s">
        <v>150</v>
      </c>
      <c r="B23" s="32">
        <v>1</v>
      </c>
      <c r="C23" s="32" t="s">
        <v>82</v>
      </c>
      <c r="D23" s="32"/>
      <c r="E23" s="32"/>
      <c r="F23" s="32" t="s">
        <v>60</v>
      </c>
      <c r="G23" s="32"/>
      <c r="H23" s="32" t="s">
        <v>77</v>
      </c>
      <c r="I23" s="32" t="s">
        <v>60</v>
      </c>
      <c r="J23" s="32"/>
      <c r="K23" s="32">
        <v>2025</v>
      </c>
      <c r="L23" s="32" t="s">
        <v>62</v>
      </c>
      <c r="M23" s="32" t="s">
        <v>63</v>
      </c>
      <c r="N23" s="32">
        <v>127160</v>
      </c>
      <c r="O23" s="32" t="s">
        <v>88</v>
      </c>
      <c r="P23" s="32" t="s">
        <v>65</v>
      </c>
      <c r="Q23" s="32">
        <v>1</v>
      </c>
      <c r="R23" s="32" t="s">
        <v>66</v>
      </c>
      <c r="S23" s="32" t="s">
        <v>67</v>
      </c>
      <c r="T23" s="32"/>
      <c r="U23" s="32" t="s">
        <v>68</v>
      </c>
      <c r="V23" s="32" t="s">
        <v>69</v>
      </c>
      <c r="W23" s="32" t="s">
        <v>70</v>
      </c>
      <c r="X23" s="32" t="s">
        <v>80</v>
      </c>
      <c r="Y23" s="32"/>
      <c r="Z23" s="32"/>
      <c r="AA23" s="32" t="s">
        <v>72</v>
      </c>
      <c r="AB23" s="32" t="s">
        <v>73</v>
      </c>
      <c r="AC23" s="32" t="s">
        <v>74</v>
      </c>
      <c r="AD23" s="32">
        <v>129859</v>
      </c>
      <c r="AE23" s="32"/>
      <c r="AF23" s="32"/>
      <c r="AG23" s="32"/>
      <c r="AH23" s="32"/>
      <c r="AI23" s="32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</row>
    <row r="24" spans="1:326" s="22" customFormat="1" x14ac:dyDescent="0.3">
      <c r="A24" s="33" t="s">
        <v>150</v>
      </c>
      <c r="B24" s="33">
        <v>1</v>
      </c>
      <c r="C24" s="33" t="s">
        <v>82</v>
      </c>
      <c r="D24" s="32"/>
      <c r="E24" s="33"/>
      <c r="F24" s="32" t="s">
        <v>60</v>
      </c>
      <c r="G24" s="32"/>
      <c r="H24" s="33" t="s">
        <v>77</v>
      </c>
      <c r="I24" s="32" t="s">
        <v>60</v>
      </c>
      <c r="J24" s="33"/>
      <c r="K24" s="33">
        <v>2025</v>
      </c>
      <c r="L24" s="33" t="s">
        <v>62</v>
      </c>
      <c r="M24" s="33" t="s">
        <v>63</v>
      </c>
      <c r="N24" s="33">
        <v>127160</v>
      </c>
      <c r="O24" s="33" t="s">
        <v>88</v>
      </c>
      <c r="P24" s="33" t="s">
        <v>65</v>
      </c>
      <c r="Q24" s="33">
        <v>1</v>
      </c>
      <c r="R24" s="33" t="s">
        <v>66</v>
      </c>
      <c r="S24" s="33" t="s">
        <v>87</v>
      </c>
      <c r="T24" s="33"/>
      <c r="U24" s="33" t="s">
        <v>68</v>
      </c>
      <c r="V24" s="33" t="s">
        <v>69</v>
      </c>
      <c r="W24" s="33" t="s">
        <v>70</v>
      </c>
      <c r="X24" s="33" t="s">
        <v>80</v>
      </c>
      <c r="Y24" s="33"/>
      <c r="Z24" s="33"/>
      <c r="AA24" s="33" t="s">
        <v>72</v>
      </c>
      <c r="AB24" s="33" t="s">
        <v>73</v>
      </c>
      <c r="AC24" s="33" t="s">
        <v>74</v>
      </c>
      <c r="AD24" s="33">
        <v>21964</v>
      </c>
      <c r="AE24" s="33"/>
      <c r="AF24" s="33"/>
      <c r="AG24" s="33"/>
      <c r="AH24" s="33"/>
      <c r="AI24" s="33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</row>
    <row r="25" spans="1:326" s="22" customFormat="1" x14ac:dyDescent="0.3">
      <c r="A25" s="32" t="s">
        <v>150</v>
      </c>
      <c r="B25" s="32">
        <v>1</v>
      </c>
      <c r="C25" s="32" t="s">
        <v>82</v>
      </c>
      <c r="D25" s="32"/>
      <c r="E25" s="32"/>
      <c r="F25" s="32" t="s">
        <v>60</v>
      </c>
      <c r="G25" s="32"/>
      <c r="H25" s="32" t="s">
        <v>77</v>
      </c>
      <c r="I25" s="32" t="s">
        <v>60</v>
      </c>
      <c r="J25" s="32"/>
      <c r="K25" s="32">
        <v>2025</v>
      </c>
      <c r="L25" s="32" t="s">
        <v>62</v>
      </c>
      <c r="M25" s="32" t="s">
        <v>63</v>
      </c>
      <c r="N25" s="32">
        <v>127160</v>
      </c>
      <c r="O25" s="32" t="s">
        <v>88</v>
      </c>
      <c r="P25" s="32" t="s">
        <v>65</v>
      </c>
      <c r="Q25" s="32">
        <v>2</v>
      </c>
      <c r="R25" s="32" t="s">
        <v>66</v>
      </c>
      <c r="S25" s="32" t="s">
        <v>67</v>
      </c>
      <c r="T25" s="32"/>
      <c r="U25" s="32" t="s">
        <v>68</v>
      </c>
      <c r="V25" s="32" t="s">
        <v>69</v>
      </c>
      <c r="W25" s="32" t="s">
        <v>70</v>
      </c>
      <c r="X25" s="32" t="s">
        <v>80</v>
      </c>
      <c r="Y25" s="32"/>
      <c r="Z25" s="32"/>
      <c r="AA25" s="32" t="s">
        <v>72</v>
      </c>
      <c r="AB25" s="32" t="s">
        <v>73</v>
      </c>
      <c r="AC25" s="32" t="s">
        <v>74</v>
      </c>
      <c r="AD25" s="32">
        <v>189721</v>
      </c>
      <c r="AE25" s="32"/>
      <c r="AF25" s="32"/>
      <c r="AG25" s="32"/>
      <c r="AH25" s="32"/>
      <c r="AI25" s="32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</row>
    <row r="26" spans="1:326" s="22" customFormat="1" x14ac:dyDescent="0.3">
      <c r="A26" s="33" t="s">
        <v>150</v>
      </c>
      <c r="B26" s="33">
        <v>1</v>
      </c>
      <c r="C26" s="33" t="s">
        <v>82</v>
      </c>
      <c r="D26" s="32"/>
      <c r="E26" s="33"/>
      <c r="F26" s="32" t="s">
        <v>60</v>
      </c>
      <c r="G26" s="32"/>
      <c r="H26" s="33" t="s">
        <v>77</v>
      </c>
      <c r="I26" s="32" t="s">
        <v>60</v>
      </c>
      <c r="J26" s="33"/>
      <c r="K26" s="33">
        <v>2025</v>
      </c>
      <c r="L26" s="33" t="s">
        <v>62</v>
      </c>
      <c r="M26" s="33" t="s">
        <v>63</v>
      </c>
      <c r="N26" s="33">
        <v>127160</v>
      </c>
      <c r="O26" s="33" t="s">
        <v>88</v>
      </c>
      <c r="P26" s="33" t="s">
        <v>65</v>
      </c>
      <c r="Q26" s="33">
        <v>2</v>
      </c>
      <c r="R26" s="33" t="s">
        <v>66</v>
      </c>
      <c r="S26" s="33" t="s">
        <v>87</v>
      </c>
      <c r="T26" s="33"/>
      <c r="U26" s="33" t="s">
        <v>68</v>
      </c>
      <c r="V26" s="33" t="s">
        <v>69</v>
      </c>
      <c r="W26" s="33" t="s">
        <v>70</v>
      </c>
      <c r="X26" s="33" t="s">
        <v>80</v>
      </c>
      <c r="Y26" s="33"/>
      <c r="Z26" s="33"/>
      <c r="AA26" s="33" t="s">
        <v>72</v>
      </c>
      <c r="AB26" s="33" t="s">
        <v>73</v>
      </c>
      <c r="AC26" s="33" t="s">
        <v>74</v>
      </c>
      <c r="AD26" s="33">
        <v>136971</v>
      </c>
      <c r="AE26" s="33"/>
      <c r="AF26" s="33"/>
      <c r="AG26" s="33"/>
      <c r="AH26" s="33"/>
      <c r="AI26" s="33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</row>
    <row r="27" spans="1:326" s="22" customFormat="1" x14ac:dyDescent="0.3">
      <c r="A27" s="32" t="s">
        <v>150</v>
      </c>
      <c r="B27" s="32">
        <v>1</v>
      </c>
      <c r="C27" s="32" t="s">
        <v>82</v>
      </c>
      <c r="D27" s="32"/>
      <c r="E27" s="32"/>
      <c r="F27" s="32" t="s">
        <v>60</v>
      </c>
      <c r="G27" s="32"/>
      <c r="H27" s="32" t="s">
        <v>77</v>
      </c>
      <c r="I27" s="32" t="s">
        <v>60</v>
      </c>
      <c r="J27" s="32"/>
      <c r="K27" s="32">
        <v>2025</v>
      </c>
      <c r="L27" s="32" t="s">
        <v>62</v>
      </c>
      <c r="M27" s="32" t="s">
        <v>63</v>
      </c>
      <c r="N27" s="32">
        <v>127160</v>
      </c>
      <c r="O27" s="32" t="s">
        <v>88</v>
      </c>
      <c r="P27" s="32" t="s">
        <v>65</v>
      </c>
      <c r="Q27" s="32">
        <v>3</v>
      </c>
      <c r="R27" s="32" t="s">
        <v>66</v>
      </c>
      <c r="S27" s="32" t="s">
        <v>67</v>
      </c>
      <c r="T27" s="32"/>
      <c r="U27" s="32" t="s">
        <v>68</v>
      </c>
      <c r="V27" s="32" t="s">
        <v>69</v>
      </c>
      <c r="W27" s="32" t="s">
        <v>70</v>
      </c>
      <c r="X27" s="32" t="s">
        <v>80</v>
      </c>
      <c r="Y27" s="32"/>
      <c r="Z27" s="32"/>
      <c r="AA27" s="32" t="s">
        <v>72</v>
      </c>
      <c r="AB27" s="32" t="s">
        <v>73</v>
      </c>
      <c r="AC27" s="32" t="s">
        <v>74</v>
      </c>
      <c r="AD27" s="32">
        <v>27010</v>
      </c>
      <c r="AE27" s="32"/>
      <c r="AF27" s="32"/>
      <c r="AG27" s="32"/>
      <c r="AH27" s="32"/>
      <c r="AI27" s="32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</row>
    <row r="28" spans="1:326" s="22" customFormat="1" x14ac:dyDescent="0.3">
      <c r="A28" s="33" t="s">
        <v>150</v>
      </c>
      <c r="B28" s="33">
        <v>1</v>
      </c>
      <c r="C28" s="33" t="s">
        <v>82</v>
      </c>
      <c r="D28" s="32"/>
      <c r="E28" s="33"/>
      <c r="F28" s="32" t="s">
        <v>60</v>
      </c>
      <c r="G28" s="32"/>
      <c r="H28" s="33" t="s">
        <v>77</v>
      </c>
      <c r="I28" s="32" t="s">
        <v>60</v>
      </c>
      <c r="J28" s="33"/>
      <c r="K28" s="33">
        <v>2025</v>
      </c>
      <c r="L28" s="33" t="s">
        <v>62</v>
      </c>
      <c r="M28" s="33" t="s">
        <v>63</v>
      </c>
      <c r="N28" s="33">
        <v>127160</v>
      </c>
      <c r="O28" s="33" t="s">
        <v>88</v>
      </c>
      <c r="P28" s="33" t="s">
        <v>65</v>
      </c>
      <c r="Q28" s="33">
        <v>3</v>
      </c>
      <c r="R28" s="33" t="s">
        <v>66</v>
      </c>
      <c r="S28" s="33" t="s">
        <v>87</v>
      </c>
      <c r="T28" s="33"/>
      <c r="U28" s="33" t="s">
        <v>68</v>
      </c>
      <c r="V28" s="33" t="s">
        <v>69</v>
      </c>
      <c r="W28" s="33" t="s">
        <v>70</v>
      </c>
      <c r="X28" s="33" t="s">
        <v>80</v>
      </c>
      <c r="Y28" s="33"/>
      <c r="Z28" s="33"/>
      <c r="AA28" s="33" t="s">
        <v>72</v>
      </c>
      <c r="AB28" s="33" t="s">
        <v>73</v>
      </c>
      <c r="AC28" s="33" t="s">
        <v>74</v>
      </c>
      <c r="AD28" s="33">
        <v>124506</v>
      </c>
      <c r="AE28" s="33"/>
      <c r="AF28" s="33"/>
      <c r="AG28" s="33"/>
      <c r="AH28" s="33"/>
      <c r="AI28" s="33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</row>
    <row r="29" spans="1:326" s="22" customFormat="1" x14ac:dyDescent="0.3">
      <c r="A29" s="32" t="s">
        <v>150</v>
      </c>
      <c r="B29" s="32">
        <v>1</v>
      </c>
      <c r="C29" s="32" t="s">
        <v>82</v>
      </c>
      <c r="D29" s="32"/>
      <c r="E29" s="32"/>
      <c r="F29" s="32" t="s">
        <v>60</v>
      </c>
      <c r="G29" s="32"/>
      <c r="H29" s="32" t="s">
        <v>77</v>
      </c>
      <c r="I29" s="32" t="s">
        <v>60</v>
      </c>
      <c r="J29" s="32"/>
      <c r="K29" s="32">
        <v>2025</v>
      </c>
      <c r="L29" s="32" t="s">
        <v>62</v>
      </c>
      <c r="M29" s="32" t="s">
        <v>63</v>
      </c>
      <c r="N29" s="32">
        <v>127160</v>
      </c>
      <c r="O29" s="32" t="s">
        <v>88</v>
      </c>
      <c r="P29" s="32" t="s">
        <v>65</v>
      </c>
      <c r="Q29" s="32">
        <v>4</v>
      </c>
      <c r="R29" s="32" t="s">
        <v>66</v>
      </c>
      <c r="S29" s="32" t="s">
        <v>67</v>
      </c>
      <c r="T29" s="32"/>
      <c r="U29" s="32" t="s">
        <v>68</v>
      </c>
      <c r="V29" s="32" t="s">
        <v>69</v>
      </c>
      <c r="W29" s="32" t="s">
        <v>70</v>
      </c>
      <c r="X29" s="32" t="s">
        <v>80</v>
      </c>
      <c r="Y29" s="32"/>
      <c r="Z29" s="32"/>
      <c r="AA29" s="32" t="s">
        <v>72</v>
      </c>
      <c r="AB29" s="32" t="s">
        <v>73</v>
      </c>
      <c r="AC29" s="32" t="s">
        <v>74</v>
      </c>
      <c r="AD29" s="32">
        <v>6776</v>
      </c>
      <c r="AE29" s="32"/>
      <c r="AF29" s="32"/>
      <c r="AG29" s="32"/>
      <c r="AH29" s="32"/>
      <c r="AI29" s="32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</row>
    <row r="30" spans="1:326" s="22" customFormat="1" x14ac:dyDescent="0.3">
      <c r="A30" s="33" t="s">
        <v>150</v>
      </c>
      <c r="B30" s="33">
        <v>1</v>
      </c>
      <c r="C30" s="33" t="s">
        <v>82</v>
      </c>
      <c r="D30" s="32"/>
      <c r="E30" s="33"/>
      <c r="F30" s="32" t="s">
        <v>60</v>
      </c>
      <c r="G30" s="32"/>
      <c r="H30" s="33" t="s">
        <v>77</v>
      </c>
      <c r="I30" s="32" t="s">
        <v>60</v>
      </c>
      <c r="J30" s="33"/>
      <c r="K30" s="33">
        <v>2025</v>
      </c>
      <c r="L30" s="33" t="s">
        <v>62</v>
      </c>
      <c r="M30" s="33" t="s">
        <v>63</v>
      </c>
      <c r="N30" s="33">
        <v>127160</v>
      </c>
      <c r="O30" s="33" t="s">
        <v>88</v>
      </c>
      <c r="P30" s="33" t="s">
        <v>65</v>
      </c>
      <c r="Q30" s="33">
        <v>4</v>
      </c>
      <c r="R30" s="33" t="s">
        <v>66</v>
      </c>
      <c r="S30" s="33" t="s">
        <v>87</v>
      </c>
      <c r="T30" s="33"/>
      <c r="U30" s="33" t="s">
        <v>68</v>
      </c>
      <c r="V30" s="33" t="s">
        <v>69</v>
      </c>
      <c r="W30" s="33" t="s">
        <v>70</v>
      </c>
      <c r="X30" s="33" t="s">
        <v>80</v>
      </c>
      <c r="Y30" s="33"/>
      <c r="Z30" s="33"/>
      <c r="AA30" s="33" t="s">
        <v>72</v>
      </c>
      <c r="AB30" s="33" t="s">
        <v>73</v>
      </c>
      <c r="AC30" s="33" t="s">
        <v>74</v>
      </c>
      <c r="AD30" s="33">
        <v>35862</v>
      </c>
      <c r="AE30" s="33"/>
      <c r="AF30" s="33"/>
      <c r="AG30" s="33"/>
      <c r="AH30" s="33"/>
      <c r="AI30" s="33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</row>
    <row r="31" spans="1:326" s="10" customFormat="1" x14ac:dyDescent="0.3">
      <c r="A31" s="9" t="s">
        <v>150</v>
      </c>
      <c r="B31" s="9">
        <v>2</v>
      </c>
      <c r="C31" s="9" t="s">
        <v>143</v>
      </c>
      <c r="D31" s="9"/>
      <c r="E31" s="9"/>
      <c r="F31" s="9" t="s">
        <v>60</v>
      </c>
      <c r="G31" s="9"/>
      <c r="H31" s="9" t="s">
        <v>61</v>
      </c>
      <c r="I31" s="9" t="s">
        <v>60</v>
      </c>
      <c r="J31" s="9"/>
      <c r="K31" s="9">
        <v>2025</v>
      </c>
      <c r="L31" s="9" t="s">
        <v>62</v>
      </c>
      <c r="M31" s="9" t="s">
        <v>63</v>
      </c>
      <c r="N31" s="9">
        <v>127160</v>
      </c>
      <c r="O31" s="9" t="s">
        <v>64</v>
      </c>
      <c r="P31" s="9" t="s">
        <v>65</v>
      </c>
      <c r="Q31" s="9">
        <v>1</v>
      </c>
      <c r="R31" s="9" t="s">
        <v>66</v>
      </c>
      <c r="S31" s="9" t="s">
        <v>67</v>
      </c>
      <c r="T31" s="9"/>
      <c r="U31" s="9" t="s">
        <v>68</v>
      </c>
      <c r="V31" s="9" t="s">
        <v>69</v>
      </c>
      <c r="W31" s="9" t="s">
        <v>70</v>
      </c>
      <c r="X31" s="9" t="s">
        <v>71</v>
      </c>
      <c r="Y31" s="9"/>
      <c r="Z31" s="9"/>
      <c r="AA31" s="9" t="s">
        <v>72</v>
      </c>
      <c r="AB31" s="9" t="s">
        <v>73</v>
      </c>
      <c r="AC31" s="9" t="s">
        <v>74</v>
      </c>
      <c r="AD31" s="9">
        <v>5998.7539999999999</v>
      </c>
      <c r="AE31" s="9"/>
      <c r="AF31" s="9" t="s">
        <v>75</v>
      </c>
      <c r="AG31" s="9" t="s">
        <v>76</v>
      </c>
      <c r="AH31" s="9" t="s">
        <v>76</v>
      </c>
      <c r="AI31" s="9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</row>
    <row r="32" spans="1:326" s="10" customFormat="1" x14ac:dyDescent="0.3">
      <c r="A32" s="11" t="s">
        <v>150</v>
      </c>
      <c r="B32" s="11">
        <v>2</v>
      </c>
      <c r="C32" s="11" t="s">
        <v>143</v>
      </c>
      <c r="D32" s="9"/>
      <c r="E32" s="11"/>
      <c r="F32" s="11" t="s">
        <v>60</v>
      </c>
      <c r="G32" s="11"/>
      <c r="H32" s="11" t="s">
        <v>77</v>
      </c>
      <c r="I32" s="11" t="s">
        <v>60</v>
      </c>
      <c r="J32" s="11"/>
      <c r="K32" s="11">
        <v>2025</v>
      </c>
      <c r="L32" s="11" t="s">
        <v>62</v>
      </c>
      <c r="M32" s="11" t="s">
        <v>63</v>
      </c>
      <c r="N32" s="11">
        <v>127160</v>
      </c>
      <c r="O32" s="11" t="s">
        <v>64</v>
      </c>
      <c r="P32" s="11" t="s">
        <v>78</v>
      </c>
      <c r="Q32" s="11">
        <v>2025</v>
      </c>
      <c r="R32" s="11" t="s">
        <v>66</v>
      </c>
      <c r="S32" s="11" t="s">
        <v>79</v>
      </c>
      <c r="T32" s="11"/>
      <c r="U32" s="11" t="s">
        <v>68</v>
      </c>
      <c r="V32" s="11" t="s">
        <v>69</v>
      </c>
      <c r="W32" s="11" t="s">
        <v>70</v>
      </c>
      <c r="X32" s="11" t="s">
        <v>80</v>
      </c>
      <c r="Y32" s="11"/>
      <c r="Z32" s="11"/>
      <c r="AA32" s="11" t="s">
        <v>72</v>
      </c>
      <c r="AB32" s="11" t="s">
        <v>73</v>
      </c>
      <c r="AC32" s="11" t="s">
        <v>74</v>
      </c>
      <c r="AD32" s="11">
        <v>38354</v>
      </c>
      <c r="AE32" s="9"/>
      <c r="AF32" s="9" t="s">
        <v>75</v>
      </c>
      <c r="AG32" s="11" t="s">
        <v>81</v>
      </c>
      <c r="AH32" s="11" t="s">
        <v>81</v>
      </c>
      <c r="AI32" s="11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</row>
    <row r="33" spans="1:326" s="13" customFormat="1" x14ac:dyDescent="0.3">
      <c r="A33" s="12" t="s">
        <v>150</v>
      </c>
      <c r="B33" s="12">
        <v>2</v>
      </c>
      <c r="C33" s="12" t="s">
        <v>143</v>
      </c>
      <c r="D33" s="12" t="s">
        <v>89</v>
      </c>
      <c r="E33" s="12" t="s">
        <v>83</v>
      </c>
      <c r="F33" s="12" t="s">
        <v>84</v>
      </c>
      <c r="G33" s="12"/>
      <c r="H33" s="12" t="s">
        <v>61</v>
      </c>
      <c r="I33" s="12" t="s">
        <v>60</v>
      </c>
      <c r="J33" s="12"/>
      <c r="K33" s="12">
        <v>2025</v>
      </c>
      <c r="L33" s="12" t="s">
        <v>62</v>
      </c>
      <c r="M33" s="12" t="s">
        <v>63</v>
      </c>
      <c r="N33" s="12">
        <v>127160</v>
      </c>
      <c r="O33" s="12" t="s">
        <v>64</v>
      </c>
      <c r="P33" s="12" t="s">
        <v>65</v>
      </c>
      <c r="Q33" s="12">
        <v>1</v>
      </c>
      <c r="R33" s="12" t="s">
        <v>66</v>
      </c>
      <c r="S33" s="12" t="s">
        <v>67</v>
      </c>
      <c r="T33" s="12"/>
      <c r="U33" s="12" t="s">
        <v>85</v>
      </c>
      <c r="V33" s="12" t="s">
        <v>69</v>
      </c>
      <c r="W33" s="12" t="s">
        <v>86</v>
      </c>
      <c r="X33" s="12"/>
      <c r="Y33" s="12"/>
      <c r="Z33" s="12"/>
      <c r="AA33" s="12" t="s">
        <v>72</v>
      </c>
      <c r="AB33" s="12" t="s">
        <v>73</v>
      </c>
      <c r="AC33" s="12" t="s">
        <v>74</v>
      </c>
      <c r="AD33" s="12">
        <v>143.202865475951</v>
      </c>
      <c r="AE33" s="12"/>
      <c r="AF33" s="12"/>
      <c r="AG33" s="12"/>
      <c r="AH33" s="12"/>
      <c r="AI33" s="12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</row>
    <row r="34" spans="1:326" s="13" customFormat="1" x14ac:dyDescent="0.3">
      <c r="A34" s="14" t="s">
        <v>150</v>
      </c>
      <c r="B34" s="14">
        <v>2</v>
      </c>
      <c r="C34" s="12" t="s">
        <v>143</v>
      </c>
      <c r="D34" s="12" t="s">
        <v>89</v>
      </c>
      <c r="E34" s="14" t="s">
        <v>83</v>
      </c>
      <c r="F34" s="12" t="s">
        <v>84</v>
      </c>
      <c r="G34" s="12"/>
      <c r="H34" s="14" t="s">
        <v>61</v>
      </c>
      <c r="I34" s="12" t="s">
        <v>60</v>
      </c>
      <c r="J34" s="14"/>
      <c r="K34" s="14">
        <v>2025</v>
      </c>
      <c r="L34" s="14" t="s">
        <v>62</v>
      </c>
      <c r="M34" s="14" t="s">
        <v>63</v>
      </c>
      <c r="N34" s="14">
        <v>127160</v>
      </c>
      <c r="O34" s="14" t="s">
        <v>64</v>
      </c>
      <c r="P34" s="14" t="s">
        <v>65</v>
      </c>
      <c r="Q34" s="14">
        <v>1</v>
      </c>
      <c r="R34" s="14" t="s">
        <v>66</v>
      </c>
      <c r="S34" s="14" t="s">
        <v>87</v>
      </c>
      <c r="T34" s="14"/>
      <c r="U34" s="14" t="s">
        <v>68</v>
      </c>
      <c r="V34" s="14" t="s">
        <v>69</v>
      </c>
      <c r="W34" s="14" t="s">
        <v>70</v>
      </c>
      <c r="X34" s="14"/>
      <c r="Y34" s="14"/>
      <c r="Z34" s="14"/>
      <c r="AA34" s="14" t="s">
        <v>72</v>
      </c>
      <c r="AB34" s="14" t="s">
        <v>73</v>
      </c>
      <c r="AC34" s="14" t="s">
        <v>74</v>
      </c>
      <c r="AD34" s="14">
        <v>523.418731364515</v>
      </c>
      <c r="AE34" s="14"/>
      <c r="AF34" s="14"/>
      <c r="AG34" s="14"/>
      <c r="AH34" s="14"/>
      <c r="AI34" s="1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</row>
    <row r="35" spans="1:326" s="13" customFormat="1" x14ac:dyDescent="0.3">
      <c r="A35" s="12" t="s">
        <v>150</v>
      </c>
      <c r="B35" s="12">
        <v>2</v>
      </c>
      <c r="C35" s="12" t="s">
        <v>143</v>
      </c>
      <c r="D35" s="12" t="s">
        <v>89</v>
      </c>
      <c r="E35" s="12" t="s">
        <v>83</v>
      </c>
      <c r="F35" s="12" t="s">
        <v>84</v>
      </c>
      <c r="G35" s="12"/>
      <c r="H35" s="12" t="s">
        <v>61</v>
      </c>
      <c r="I35" s="12" t="s">
        <v>60</v>
      </c>
      <c r="J35" s="12"/>
      <c r="K35" s="12">
        <v>2025</v>
      </c>
      <c r="L35" s="12" t="s">
        <v>62</v>
      </c>
      <c r="M35" s="12" t="s">
        <v>63</v>
      </c>
      <c r="N35" s="12">
        <v>127160</v>
      </c>
      <c r="O35" s="12" t="s">
        <v>64</v>
      </c>
      <c r="P35" s="12" t="s">
        <v>65</v>
      </c>
      <c r="Q35" s="12">
        <v>2</v>
      </c>
      <c r="R35" s="12" t="s">
        <v>66</v>
      </c>
      <c r="S35" s="12" t="s">
        <v>67</v>
      </c>
      <c r="T35" s="12"/>
      <c r="U35" s="12" t="s">
        <v>85</v>
      </c>
      <c r="V35" s="12" t="s">
        <v>69</v>
      </c>
      <c r="W35" s="12" t="s">
        <v>86</v>
      </c>
      <c r="X35" s="12"/>
      <c r="Y35" s="12"/>
      <c r="Z35" s="12"/>
      <c r="AA35" s="12" t="s">
        <v>72</v>
      </c>
      <c r="AB35" s="12" t="s">
        <v>73</v>
      </c>
      <c r="AC35" s="12" t="s">
        <v>74</v>
      </c>
      <c r="AD35" s="12">
        <v>43.648271853696997</v>
      </c>
      <c r="AE35" s="12"/>
      <c r="AF35" s="12"/>
      <c r="AG35" s="12"/>
      <c r="AH35" s="12"/>
      <c r="AI35" s="12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</row>
    <row r="36" spans="1:326" s="13" customFormat="1" x14ac:dyDescent="0.3">
      <c r="A36" s="14" t="s">
        <v>150</v>
      </c>
      <c r="B36" s="14">
        <v>2</v>
      </c>
      <c r="C36" s="12" t="s">
        <v>143</v>
      </c>
      <c r="D36" s="12" t="s">
        <v>89</v>
      </c>
      <c r="E36" s="14" t="s">
        <v>83</v>
      </c>
      <c r="F36" s="12" t="s">
        <v>84</v>
      </c>
      <c r="G36" s="12"/>
      <c r="H36" s="14" t="s">
        <v>61</v>
      </c>
      <c r="I36" s="12" t="s">
        <v>60</v>
      </c>
      <c r="J36" s="14"/>
      <c r="K36" s="14">
        <v>2025</v>
      </c>
      <c r="L36" s="14" t="s">
        <v>62</v>
      </c>
      <c r="M36" s="14" t="s">
        <v>63</v>
      </c>
      <c r="N36" s="14">
        <v>127160</v>
      </c>
      <c r="O36" s="14" t="s">
        <v>64</v>
      </c>
      <c r="P36" s="14" t="s">
        <v>65</v>
      </c>
      <c r="Q36" s="14">
        <v>2</v>
      </c>
      <c r="R36" s="14" t="s">
        <v>66</v>
      </c>
      <c r="S36" s="14" t="s">
        <v>67</v>
      </c>
      <c r="T36" s="14"/>
      <c r="U36" s="14" t="s">
        <v>68</v>
      </c>
      <c r="V36" s="14" t="s">
        <v>69</v>
      </c>
      <c r="W36" s="14" t="s">
        <v>70</v>
      </c>
      <c r="X36" s="14"/>
      <c r="Y36" s="14"/>
      <c r="Z36" s="14"/>
      <c r="AA36" s="14" t="s">
        <v>72</v>
      </c>
      <c r="AB36" s="14" t="s">
        <v>73</v>
      </c>
      <c r="AC36" s="14" t="s">
        <v>74</v>
      </c>
      <c r="AD36" s="14">
        <v>1819.45994532345</v>
      </c>
      <c r="AE36" s="14"/>
      <c r="AF36" s="14"/>
      <c r="AG36" s="14"/>
      <c r="AH36" s="14"/>
      <c r="AI36" s="14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</row>
    <row r="37" spans="1:326" s="13" customFormat="1" x14ac:dyDescent="0.3">
      <c r="A37" s="12" t="s">
        <v>150</v>
      </c>
      <c r="B37" s="12">
        <v>2</v>
      </c>
      <c r="C37" s="12" t="s">
        <v>143</v>
      </c>
      <c r="D37" s="12" t="s">
        <v>89</v>
      </c>
      <c r="E37" s="12" t="s">
        <v>83</v>
      </c>
      <c r="F37" s="12" t="s">
        <v>84</v>
      </c>
      <c r="G37" s="12"/>
      <c r="H37" s="12" t="s">
        <v>61</v>
      </c>
      <c r="I37" s="12" t="s">
        <v>60</v>
      </c>
      <c r="J37" s="12"/>
      <c r="K37" s="12">
        <v>2025</v>
      </c>
      <c r="L37" s="12" t="s">
        <v>62</v>
      </c>
      <c r="M37" s="12" t="s">
        <v>63</v>
      </c>
      <c r="N37" s="12">
        <v>127160</v>
      </c>
      <c r="O37" s="12" t="s">
        <v>64</v>
      </c>
      <c r="P37" s="12" t="s">
        <v>65</v>
      </c>
      <c r="Q37" s="12">
        <v>2</v>
      </c>
      <c r="R37" s="12" t="s">
        <v>66</v>
      </c>
      <c r="S37" s="12" t="s">
        <v>87</v>
      </c>
      <c r="T37" s="12"/>
      <c r="U37" s="12" t="s">
        <v>68</v>
      </c>
      <c r="V37" s="12" t="s">
        <v>69</v>
      </c>
      <c r="W37" s="12" t="s">
        <v>70</v>
      </c>
      <c r="X37" s="12"/>
      <c r="Y37" s="12"/>
      <c r="Z37" s="12"/>
      <c r="AA37" s="12" t="s">
        <v>72</v>
      </c>
      <c r="AB37" s="12" t="s">
        <v>73</v>
      </c>
      <c r="AC37" s="12" t="s">
        <v>74</v>
      </c>
      <c r="AD37" s="12">
        <v>206.82454807327201</v>
      </c>
      <c r="AE37" s="12"/>
      <c r="AF37" s="12"/>
      <c r="AG37" s="12"/>
      <c r="AH37" s="12"/>
      <c r="AI37" s="12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</row>
    <row r="38" spans="1:326" s="13" customFormat="1" x14ac:dyDescent="0.3">
      <c r="A38" s="14" t="s">
        <v>150</v>
      </c>
      <c r="B38" s="14">
        <v>2</v>
      </c>
      <c r="C38" s="12" t="s">
        <v>143</v>
      </c>
      <c r="D38" s="12" t="s">
        <v>89</v>
      </c>
      <c r="E38" s="14" t="s">
        <v>83</v>
      </c>
      <c r="F38" s="12" t="s">
        <v>84</v>
      </c>
      <c r="G38" s="12"/>
      <c r="H38" s="14" t="s">
        <v>61</v>
      </c>
      <c r="I38" s="12" t="s">
        <v>60</v>
      </c>
      <c r="J38" s="14"/>
      <c r="K38" s="14">
        <v>2025</v>
      </c>
      <c r="L38" s="14" t="s">
        <v>62</v>
      </c>
      <c r="M38" s="14" t="s">
        <v>63</v>
      </c>
      <c r="N38" s="14">
        <v>127160</v>
      </c>
      <c r="O38" s="14" t="s">
        <v>64</v>
      </c>
      <c r="P38" s="14" t="s">
        <v>65</v>
      </c>
      <c r="Q38" s="14">
        <v>3</v>
      </c>
      <c r="R38" s="14" t="s">
        <v>66</v>
      </c>
      <c r="S38" s="14" t="s">
        <v>67</v>
      </c>
      <c r="T38" s="14"/>
      <c r="U38" s="14" t="s">
        <v>68</v>
      </c>
      <c r="V38" s="14" t="s">
        <v>69</v>
      </c>
      <c r="W38" s="14" t="s">
        <v>70</v>
      </c>
      <c r="X38" s="14"/>
      <c r="Y38" s="14"/>
      <c r="Z38" s="14"/>
      <c r="AA38" s="14" t="s">
        <v>72</v>
      </c>
      <c r="AB38" s="14" t="s">
        <v>73</v>
      </c>
      <c r="AC38" s="14" t="s">
        <v>74</v>
      </c>
      <c r="AD38" s="14">
        <v>137.85258721899399</v>
      </c>
      <c r="AE38" s="14"/>
      <c r="AF38" s="14"/>
      <c r="AG38" s="14"/>
      <c r="AH38" s="14"/>
      <c r="AI38" s="14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</row>
    <row r="39" spans="1:326" s="13" customFormat="1" x14ac:dyDescent="0.3">
      <c r="A39" s="12" t="s">
        <v>150</v>
      </c>
      <c r="B39" s="12">
        <v>2</v>
      </c>
      <c r="C39" s="12" t="s">
        <v>143</v>
      </c>
      <c r="D39" s="12" t="s">
        <v>89</v>
      </c>
      <c r="E39" s="12" t="s">
        <v>83</v>
      </c>
      <c r="F39" s="12" t="s">
        <v>84</v>
      </c>
      <c r="G39" s="12"/>
      <c r="H39" s="12" t="s">
        <v>61</v>
      </c>
      <c r="I39" s="12" t="s">
        <v>60</v>
      </c>
      <c r="J39" s="12"/>
      <c r="K39" s="12">
        <v>2025</v>
      </c>
      <c r="L39" s="12" t="s">
        <v>62</v>
      </c>
      <c r="M39" s="12" t="s">
        <v>63</v>
      </c>
      <c r="N39" s="12">
        <v>127160</v>
      </c>
      <c r="O39" s="12" t="s">
        <v>64</v>
      </c>
      <c r="P39" s="12" t="s">
        <v>65</v>
      </c>
      <c r="Q39" s="12">
        <v>3</v>
      </c>
      <c r="R39" s="12" t="s">
        <v>66</v>
      </c>
      <c r="S39" s="12" t="s">
        <v>87</v>
      </c>
      <c r="T39" s="12"/>
      <c r="U39" s="12" t="s">
        <v>68</v>
      </c>
      <c r="V39" s="12" t="s">
        <v>69</v>
      </c>
      <c r="W39" s="12" t="s">
        <v>70</v>
      </c>
      <c r="X39" s="12"/>
      <c r="Y39" s="12"/>
      <c r="Z39" s="12"/>
      <c r="AA39" s="12" t="s">
        <v>72</v>
      </c>
      <c r="AB39" s="12" t="s">
        <v>73</v>
      </c>
      <c r="AC39" s="12" t="s">
        <v>74</v>
      </c>
      <c r="AD39" s="12">
        <v>204.478693815056</v>
      </c>
      <c r="AE39" s="12"/>
      <c r="AF39" s="12"/>
      <c r="AG39" s="12"/>
      <c r="AH39" s="12"/>
      <c r="AI39" s="12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</row>
    <row r="40" spans="1:326" s="13" customFormat="1" x14ac:dyDescent="0.3">
      <c r="A40" s="14" t="s">
        <v>150</v>
      </c>
      <c r="B40" s="14">
        <v>2</v>
      </c>
      <c r="C40" s="12" t="s">
        <v>143</v>
      </c>
      <c r="D40" s="12" t="s">
        <v>89</v>
      </c>
      <c r="E40" s="14" t="s">
        <v>83</v>
      </c>
      <c r="F40" s="12" t="s">
        <v>84</v>
      </c>
      <c r="G40" s="12"/>
      <c r="H40" s="14" t="s">
        <v>61</v>
      </c>
      <c r="I40" s="12" t="s">
        <v>60</v>
      </c>
      <c r="J40" s="14"/>
      <c r="K40" s="14">
        <v>2025</v>
      </c>
      <c r="L40" s="14" t="s">
        <v>62</v>
      </c>
      <c r="M40" s="14" t="s">
        <v>63</v>
      </c>
      <c r="N40" s="14">
        <v>127160</v>
      </c>
      <c r="O40" s="14" t="s">
        <v>64</v>
      </c>
      <c r="P40" s="14" t="s">
        <v>65</v>
      </c>
      <c r="Q40" s="14">
        <v>4</v>
      </c>
      <c r="R40" s="14" t="s">
        <v>66</v>
      </c>
      <c r="S40" s="14" t="s">
        <v>67</v>
      </c>
      <c r="T40" s="14"/>
      <c r="U40" s="14" t="s">
        <v>68</v>
      </c>
      <c r="V40" s="14" t="s">
        <v>69</v>
      </c>
      <c r="W40" s="14" t="s">
        <v>70</v>
      </c>
      <c r="X40" s="14"/>
      <c r="Y40" s="14"/>
      <c r="Z40" s="14"/>
      <c r="AA40" s="14" t="s">
        <v>72</v>
      </c>
      <c r="AB40" s="14" t="s">
        <v>73</v>
      </c>
      <c r="AC40" s="14" t="s">
        <v>74</v>
      </c>
      <c r="AD40" s="14">
        <v>589.621815061554</v>
      </c>
      <c r="AE40" s="14"/>
      <c r="AF40" s="14"/>
      <c r="AG40" s="14"/>
      <c r="AH40" s="14"/>
      <c r="AI40" s="14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</row>
    <row r="41" spans="1:326" s="13" customFormat="1" x14ac:dyDescent="0.3">
      <c r="A41" s="12" t="s">
        <v>150</v>
      </c>
      <c r="B41" s="12">
        <v>2</v>
      </c>
      <c r="C41" s="12" t="s">
        <v>143</v>
      </c>
      <c r="D41" s="12" t="s">
        <v>89</v>
      </c>
      <c r="E41" s="12" t="s">
        <v>83</v>
      </c>
      <c r="F41" s="12" t="s">
        <v>84</v>
      </c>
      <c r="G41" s="12"/>
      <c r="H41" s="12" t="s">
        <v>61</v>
      </c>
      <c r="I41" s="12" t="s">
        <v>60</v>
      </c>
      <c r="J41" s="12"/>
      <c r="K41" s="12">
        <v>2025</v>
      </c>
      <c r="L41" s="12" t="s">
        <v>62</v>
      </c>
      <c r="M41" s="12" t="s">
        <v>63</v>
      </c>
      <c r="N41" s="12">
        <v>127160</v>
      </c>
      <c r="O41" s="12" t="s">
        <v>64</v>
      </c>
      <c r="P41" s="12" t="s">
        <v>65</v>
      </c>
      <c r="Q41" s="12">
        <v>4</v>
      </c>
      <c r="R41" s="12" t="s">
        <v>66</v>
      </c>
      <c r="S41" s="12" t="s">
        <v>87</v>
      </c>
      <c r="T41" s="12"/>
      <c r="U41" s="12" t="s">
        <v>68</v>
      </c>
      <c r="V41" s="12" t="s">
        <v>69</v>
      </c>
      <c r="W41" s="12" t="s">
        <v>70</v>
      </c>
      <c r="X41" s="12"/>
      <c r="Y41" s="12"/>
      <c r="Z41" s="12"/>
      <c r="AA41" s="12" t="s">
        <v>72</v>
      </c>
      <c r="AB41" s="12" t="s">
        <v>73</v>
      </c>
      <c r="AC41" s="12" t="s">
        <v>74</v>
      </c>
      <c r="AD41" s="12">
        <v>227.70649663411601</v>
      </c>
      <c r="AE41" s="12"/>
      <c r="AF41" s="12"/>
      <c r="AG41" s="12"/>
      <c r="AH41" s="12"/>
      <c r="AI41" s="12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</row>
    <row r="42" spans="1:326" s="35" customFormat="1" x14ac:dyDescent="0.3">
      <c r="A42" s="34" t="s">
        <v>150</v>
      </c>
      <c r="B42" s="34">
        <v>2</v>
      </c>
      <c r="C42" s="34" t="s">
        <v>143</v>
      </c>
      <c r="D42" s="34"/>
      <c r="E42" s="34"/>
      <c r="F42" s="34" t="s">
        <v>60</v>
      </c>
      <c r="G42" s="34"/>
      <c r="H42" s="34" t="s">
        <v>61</v>
      </c>
      <c r="I42" s="34" t="s">
        <v>60</v>
      </c>
      <c r="J42" s="34"/>
      <c r="K42" s="34">
        <v>2025</v>
      </c>
      <c r="L42" s="34" t="s">
        <v>62</v>
      </c>
      <c r="M42" s="34" t="s">
        <v>63</v>
      </c>
      <c r="N42" s="34">
        <v>127160</v>
      </c>
      <c r="O42" s="34" t="s">
        <v>88</v>
      </c>
      <c r="P42" s="34" t="s">
        <v>65</v>
      </c>
      <c r="Q42" s="34">
        <v>1</v>
      </c>
      <c r="R42" s="34" t="s">
        <v>66</v>
      </c>
      <c r="S42" s="34" t="s">
        <v>67</v>
      </c>
      <c r="T42" s="34"/>
      <c r="U42" s="34" t="s">
        <v>85</v>
      </c>
      <c r="V42" s="34" t="s">
        <v>69</v>
      </c>
      <c r="W42" s="34" t="s">
        <v>86</v>
      </c>
      <c r="X42" s="34"/>
      <c r="Y42" s="34"/>
      <c r="Z42" s="34"/>
      <c r="AA42" s="34" t="s">
        <v>72</v>
      </c>
      <c r="AB42" s="34" t="s">
        <v>73</v>
      </c>
      <c r="AC42" s="34" t="s">
        <v>74</v>
      </c>
      <c r="AD42" s="34">
        <v>2979</v>
      </c>
      <c r="AE42" s="34"/>
      <c r="AF42" s="34"/>
      <c r="AG42" s="34"/>
      <c r="AH42" s="34"/>
      <c r="AI42" s="34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</row>
    <row r="43" spans="1:326" s="35" customFormat="1" x14ac:dyDescent="0.3">
      <c r="A43" s="36" t="s">
        <v>150</v>
      </c>
      <c r="B43" s="36">
        <v>2</v>
      </c>
      <c r="C43" s="36" t="s">
        <v>143</v>
      </c>
      <c r="D43" s="34"/>
      <c r="E43" s="36"/>
      <c r="F43" s="34" t="s">
        <v>60</v>
      </c>
      <c r="G43" s="34"/>
      <c r="H43" s="36" t="s">
        <v>61</v>
      </c>
      <c r="I43" s="34" t="s">
        <v>60</v>
      </c>
      <c r="J43" s="36"/>
      <c r="K43" s="36">
        <v>2025</v>
      </c>
      <c r="L43" s="36" t="s">
        <v>62</v>
      </c>
      <c r="M43" s="36" t="s">
        <v>63</v>
      </c>
      <c r="N43" s="36">
        <v>127160</v>
      </c>
      <c r="O43" s="36" t="s">
        <v>88</v>
      </c>
      <c r="P43" s="36" t="s">
        <v>65</v>
      </c>
      <c r="Q43" s="36">
        <v>1</v>
      </c>
      <c r="R43" s="36" t="s">
        <v>66</v>
      </c>
      <c r="S43" s="36" t="s">
        <v>87</v>
      </c>
      <c r="T43" s="36"/>
      <c r="U43" s="36" t="s">
        <v>68</v>
      </c>
      <c r="V43" s="36" t="s">
        <v>69</v>
      </c>
      <c r="W43" s="36" t="s">
        <v>70</v>
      </c>
      <c r="X43" s="36"/>
      <c r="Y43" s="36"/>
      <c r="Z43" s="36"/>
      <c r="AA43" s="36" t="s">
        <v>72</v>
      </c>
      <c r="AB43" s="36" t="s">
        <v>73</v>
      </c>
      <c r="AC43" s="36" t="s">
        <v>74</v>
      </c>
      <c r="AD43" s="36">
        <v>10888.5</v>
      </c>
      <c r="AE43" s="36"/>
      <c r="AF43" s="36"/>
      <c r="AG43" s="36"/>
      <c r="AH43" s="36"/>
      <c r="AI43" s="36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</row>
    <row r="44" spans="1:326" s="35" customFormat="1" x14ac:dyDescent="0.3">
      <c r="A44" s="34" t="s">
        <v>150</v>
      </c>
      <c r="B44" s="34">
        <v>2</v>
      </c>
      <c r="C44" s="34" t="s">
        <v>143</v>
      </c>
      <c r="D44" s="34"/>
      <c r="E44" s="34"/>
      <c r="F44" s="34" t="s">
        <v>60</v>
      </c>
      <c r="G44" s="34"/>
      <c r="H44" s="34" t="s">
        <v>61</v>
      </c>
      <c r="I44" s="34" t="s">
        <v>60</v>
      </c>
      <c r="J44" s="34"/>
      <c r="K44" s="34">
        <v>2025</v>
      </c>
      <c r="L44" s="34" t="s">
        <v>62</v>
      </c>
      <c r="M44" s="34" t="s">
        <v>63</v>
      </c>
      <c r="N44" s="34">
        <v>127160</v>
      </c>
      <c r="O44" s="34" t="s">
        <v>88</v>
      </c>
      <c r="P44" s="34" t="s">
        <v>65</v>
      </c>
      <c r="Q44" s="34">
        <v>2</v>
      </c>
      <c r="R44" s="34" t="s">
        <v>66</v>
      </c>
      <c r="S44" s="34" t="s">
        <v>67</v>
      </c>
      <c r="T44" s="34"/>
      <c r="U44" s="34" t="s">
        <v>85</v>
      </c>
      <c r="V44" s="34" t="s">
        <v>69</v>
      </c>
      <c r="W44" s="34" t="s">
        <v>86</v>
      </c>
      <c r="X44" s="34"/>
      <c r="Y44" s="34"/>
      <c r="Z44" s="34"/>
      <c r="AA44" s="34" t="s">
        <v>72</v>
      </c>
      <c r="AB44" s="34" t="s">
        <v>73</v>
      </c>
      <c r="AC44" s="34" t="s">
        <v>74</v>
      </c>
      <c r="AD44" s="34">
        <v>908</v>
      </c>
      <c r="AE44" s="34"/>
      <c r="AF44" s="34"/>
      <c r="AG44" s="34"/>
      <c r="AH44" s="34"/>
      <c r="AI44" s="3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</row>
    <row r="45" spans="1:326" s="35" customFormat="1" x14ac:dyDescent="0.3">
      <c r="A45" s="36" t="s">
        <v>150</v>
      </c>
      <c r="B45" s="36">
        <v>2</v>
      </c>
      <c r="C45" s="36" t="s">
        <v>143</v>
      </c>
      <c r="D45" s="34"/>
      <c r="E45" s="36"/>
      <c r="F45" s="34" t="s">
        <v>60</v>
      </c>
      <c r="G45" s="34"/>
      <c r="H45" s="36" t="s">
        <v>61</v>
      </c>
      <c r="I45" s="34" t="s">
        <v>60</v>
      </c>
      <c r="J45" s="36"/>
      <c r="K45" s="36">
        <v>2025</v>
      </c>
      <c r="L45" s="36" t="s">
        <v>62</v>
      </c>
      <c r="M45" s="36" t="s">
        <v>63</v>
      </c>
      <c r="N45" s="36">
        <v>127160</v>
      </c>
      <c r="O45" s="36" t="s">
        <v>88</v>
      </c>
      <c r="P45" s="36" t="s">
        <v>65</v>
      </c>
      <c r="Q45" s="36">
        <v>2</v>
      </c>
      <c r="R45" s="36" t="s">
        <v>66</v>
      </c>
      <c r="S45" s="36" t="s">
        <v>67</v>
      </c>
      <c r="T45" s="36"/>
      <c r="U45" s="36" t="s">
        <v>68</v>
      </c>
      <c r="V45" s="36" t="s">
        <v>69</v>
      </c>
      <c r="W45" s="36" t="s">
        <v>70</v>
      </c>
      <c r="X45" s="36"/>
      <c r="Y45" s="36"/>
      <c r="Z45" s="36"/>
      <c r="AA45" s="36" t="s">
        <v>72</v>
      </c>
      <c r="AB45" s="36" t="s">
        <v>73</v>
      </c>
      <c r="AC45" s="36" t="s">
        <v>74</v>
      </c>
      <c r="AD45" s="36">
        <v>37849.599999999999</v>
      </c>
      <c r="AE45" s="36"/>
      <c r="AF45" s="36"/>
      <c r="AG45" s="36"/>
      <c r="AH45" s="36"/>
      <c r="AI45" s="36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</row>
    <row r="46" spans="1:326" s="35" customFormat="1" x14ac:dyDescent="0.3">
      <c r="A46" s="34" t="s">
        <v>150</v>
      </c>
      <c r="B46" s="34">
        <v>2</v>
      </c>
      <c r="C46" s="34" t="s">
        <v>143</v>
      </c>
      <c r="D46" s="34"/>
      <c r="E46" s="34"/>
      <c r="F46" s="34" t="s">
        <v>60</v>
      </c>
      <c r="G46" s="34"/>
      <c r="H46" s="34" t="s">
        <v>61</v>
      </c>
      <c r="I46" s="34" t="s">
        <v>60</v>
      </c>
      <c r="J46" s="34"/>
      <c r="K46" s="34">
        <v>2025</v>
      </c>
      <c r="L46" s="34" t="s">
        <v>62</v>
      </c>
      <c r="M46" s="34" t="s">
        <v>63</v>
      </c>
      <c r="N46" s="34">
        <v>127160</v>
      </c>
      <c r="O46" s="34" t="s">
        <v>88</v>
      </c>
      <c r="P46" s="34" t="s">
        <v>65</v>
      </c>
      <c r="Q46" s="34">
        <v>2</v>
      </c>
      <c r="R46" s="34" t="s">
        <v>66</v>
      </c>
      <c r="S46" s="34" t="s">
        <v>87</v>
      </c>
      <c r="T46" s="34"/>
      <c r="U46" s="34" t="s">
        <v>68</v>
      </c>
      <c r="V46" s="34" t="s">
        <v>69</v>
      </c>
      <c r="W46" s="34" t="s">
        <v>70</v>
      </c>
      <c r="X46" s="34"/>
      <c r="Y46" s="34"/>
      <c r="Z46" s="34"/>
      <c r="AA46" s="34" t="s">
        <v>72</v>
      </c>
      <c r="AB46" s="34" t="s">
        <v>73</v>
      </c>
      <c r="AC46" s="34" t="s">
        <v>74</v>
      </c>
      <c r="AD46" s="34">
        <v>4302.5</v>
      </c>
      <c r="AE46" s="34"/>
      <c r="AF46" s="34"/>
      <c r="AG46" s="34"/>
      <c r="AH46" s="34"/>
      <c r="AI46" s="34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</row>
    <row r="47" spans="1:326" s="35" customFormat="1" x14ac:dyDescent="0.3">
      <c r="A47" s="36" t="s">
        <v>150</v>
      </c>
      <c r="B47" s="36">
        <v>2</v>
      </c>
      <c r="C47" s="36" t="s">
        <v>143</v>
      </c>
      <c r="D47" s="34"/>
      <c r="E47" s="36"/>
      <c r="F47" s="34" t="s">
        <v>60</v>
      </c>
      <c r="G47" s="34"/>
      <c r="H47" s="36" t="s">
        <v>61</v>
      </c>
      <c r="I47" s="34" t="s">
        <v>60</v>
      </c>
      <c r="J47" s="36"/>
      <c r="K47" s="36">
        <v>2025</v>
      </c>
      <c r="L47" s="36" t="s">
        <v>62</v>
      </c>
      <c r="M47" s="36" t="s">
        <v>63</v>
      </c>
      <c r="N47" s="36">
        <v>127160</v>
      </c>
      <c r="O47" s="36" t="s">
        <v>88</v>
      </c>
      <c r="P47" s="36" t="s">
        <v>65</v>
      </c>
      <c r="Q47" s="36">
        <v>3</v>
      </c>
      <c r="R47" s="36" t="s">
        <v>66</v>
      </c>
      <c r="S47" s="36" t="s">
        <v>67</v>
      </c>
      <c r="T47" s="36"/>
      <c r="U47" s="36" t="s">
        <v>68</v>
      </c>
      <c r="V47" s="36" t="s">
        <v>69</v>
      </c>
      <c r="W47" s="36" t="s">
        <v>70</v>
      </c>
      <c r="X47" s="36"/>
      <c r="Y47" s="36"/>
      <c r="Z47" s="36"/>
      <c r="AA47" s="36" t="s">
        <v>72</v>
      </c>
      <c r="AB47" s="36" t="s">
        <v>73</v>
      </c>
      <c r="AC47" s="36" t="s">
        <v>74</v>
      </c>
      <c r="AD47" s="36">
        <v>2867.7</v>
      </c>
      <c r="AE47" s="36"/>
      <c r="AF47" s="36"/>
      <c r="AG47" s="36"/>
      <c r="AH47" s="36"/>
      <c r="AI47" s="36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</row>
    <row r="48" spans="1:326" s="35" customFormat="1" x14ac:dyDescent="0.3">
      <c r="A48" s="34" t="s">
        <v>150</v>
      </c>
      <c r="B48" s="34">
        <v>2</v>
      </c>
      <c r="C48" s="34" t="s">
        <v>143</v>
      </c>
      <c r="D48" s="34"/>
      <c r="E48" s="34"/>
      <c r="F48" s="34" t="s">
        <v>60</v>
      </c>
      <c r="G48" s="34"/>
      <c r="H48" s="34" t="s">
        <v>61</v>
      </c>
      <c r="I48" s="34" t="s">
        <v>60</v>
      </c>
      <c r="J48" s="34"/>
      <c r="K48" s="34">
        <v>2025</v>
      </c>
      <c r="L48" s="34" t="s">
        <v>62</v>
      </c>
      <c r="M48" s="34" t="s">
        <v>63</v>
      </c>
      <c r="N48" s="34">
        <v>127160</v>
      </c>
      <c r="O48" s="34" t="s">
        <v>88</v>
      </c>
      <c r="P48" s="34" t="s">
        <v>65</v>
      </c>
      <c r="Q48" s="34">
        <v>3</v>
      </c>
      <c r="R48" s="34" t="s">
        <v>66</v>
      </c>
      <c r="S48" s="34" t="s">
        <v>87</v>
      </c>
      <c r="T48" s="34"/>
      <c r="U48" s="34" t="s">
        <v>68</v>
      </c>
      <c r="V48" s="34" t="s">
        <v>69</v>
      </c>
      <c r="W48" s="34" t="s">
        <v>70</v>
      </c>
      <c r="X48" s="34"/>
      <c r="Y48" s="34"/>
      <c r="Z48" s="34"/>
      <c r="AA48" s="34" t="s">
        <v>72</v>
      </c>
      <c r="AB48" s="34" t="s">
        <v>73</v>
      </c>
      <c r="AC48" s="34" t="s">
        <v>74</v>
      </c>
      <c r="AD48" s="34">
        <v>4253.7</v>
      </c>
      <c r="AE48" s="34"/>
      <c r="AF48" s="34"/>
      <c r="AG48" s="34"/>
      <c r="AH48" s="34"/>
      <c r="AI48" s="34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</row>
    <row r="49" spans="1:326" s="35" customFormat="1" x14ac:dyDescent="0.3">
      <c r="A49" s="36" t="s">
        <v>150</v>
      </c>
      <c r="B49" s="36">
        <v>2</v>
      </c>
      <c r="C49" s="36" t="s">
        <v>143</v>
      </c>
      <c r="D49" s="34"/>
      <c r="E49" s="36"/>
      <c r="F49" s="34" t="s">
        <v>60</v>
      </c>
      <c r="G49" s="34"/>
      <c r="H49" s="36" t="s">
        <v>61</v>
      </c>
      <c r="I49" s="34" t="s">
        <v>60</v>
      </c>
      <c r="J49" s="36"/>
      <c r="K49" s="36">
        <v>2025</v>
      </c>
      <c r="L49" s="36" t="s">
        <v>62</v>
      </c>
      <c r="M49" s="36" t="s">
        <v>63</v>
      </c>
      <c r="N49" s="36">
        <v>127160</v>
      </c>
      <c r="O49" s="36" t="s">
        <v>88</v>
      </c>
      <c r="P49" s="36" t="s">
        <v>65</v>
      </c>
      <c r="Q49" s="36">
        <v>4</v>
      </c>
      <c r="R49" s="36" t="s">
        <v>66</v>
      </c>
      <c r="S49" s="36" t="s">
        <v>67</v>
      </c>
      <c r="T49" s="36"/>
      <c r="U49" s="36" t="s">
        <v>68</v>
      </c>
      <c r="V49" s="36" t="s">
        <v>69</v>
      </c>
      <c r="W49" s="36" t="s">
        <v>70</v>
      </c>
      <c r="X49" s="36"/>
      <c r="Y49" s="36"/>
      <c r="Z49" s="36"/>
      <c r="AA49" s="36" t="s">
        <v>72</v>
      </c>
      <c r="AB49" s="36" t="s">
        <v>73</v>
      </c>
      <c r="AC49" s="36" t="s">
        <v>74</v>
      </c>
      <c r="AD49" s="36">
        <v>12265.7</v>
      </c>
      <c r="AE49" s="36"/>
      <c r="AF49" s="36"/>
      <c r="AG49" s="36"/>
      <c r="AH49" s="36"/>
      <c r="AI49" s="36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</row>
    <row r="50" spans="1:326" s="35" customFormat="1" x14ac:dyDescent="0.3">
      <c r="A50" s="34" t="s">
        <v>150</v>
      </c>
      <c r="B50" s="34">
        <v>2</v>
      </c>
      <c r="C50" s="34" t="s">
        <v>143</v>
      </c>
      <c r="D50" s="34"/>
      <c r="E50" s="34"/>
      <c r="F50" s="34" t="s">
        <v>60</v>
      </c>
      <c r="G50" s="34"/>
      <c r="H50" s="34" t="s">
        <v>61</v>
      </c>
      <c r="I50" s="34" t="s">
        <v>60</v>
      </c>
      <c r="J50" s="34"/>
      <c r="K50" s="34">
        <v>2025</v>
      </c>
      <c r="L50" s="34" t="s">
        <v>62</v>
      </c>
      <c r="M50" s="34" t="s">
        <v>63</v>
      </c>
      <c r="N50" s="34">
        <v>127160</v>
      </c>
      <c r="O50" s="34" t="s">
        <v>88</v>
      </c>
      <c r="P50" s="34" t="s">
        <v>65</v>
      </c>
      <c r="Q50" s="34">
        <v>4</v>
      </c>
      <c r="R50" s="34" t="s">
        <v>66</v>
      </c>
      <c r="S50" s="34" t="s">
        <v>87</v>
      </c>
      <c r="T50" s="34"/>
      <c r="U50" s="34" t="s">
        <v>68</v>
      </c>
      <c r="V50" s="34" t="s">
        <v>69</v>
      </c>
      <c r="W50" s="34" t="s">
        <v>70</v>
      </c>
      <c r="X50" s="34"/>
      <c r="Y50" s="34"/>
      <c r="Z50" s="34"/>
      <c r="AA50" s="34" t="s">
        <v>72</v>
      </c>
      <c r="AB50" s="34" t="s">
        <v>73</v>
      </c>
      <c r="AC50" s="34" t="s">
        <v>74</v>
      </c>
      <c r="AD50" s="34">
        <v>4736.8999999999996</v>
      </c>
      <c r="AE50" s="34"/>
      <c r="AF50" s="34"/>
      <c r="AG50" s="34"/>
      <c r="AH50" s="34"/>
      <c r="AI50" s="34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</row>
    <row r="51" spans="1:326" s="35" customFormat="1" x14ac:dyDescent="0.3">
      <c r="A51" s="36" t="s">
        <v>150</v>
      </c>
      <c r="B51" s="36">
        <v>2</v>
      </c>
      <c r="C51" s="36" t="s">
        <v>143</v>
      </c>
      <c r="D51" s="34"/>
      <c r="E51" s="36"/>
      <c r="F51" s="34" t="s">
        <v>60</v>
      </c>
      <c r="G51" s="34"/>
      <c r="H51" s="36" t="s">
        <v>61</v>
      </c>
      <c r="I51" s="34" t="s">
        <v>60</v>
      </c>
      <c r="J51" s="36"/>
      <c r="K51" s="36">
        <v>2025</v>
      </c>
      <c r="L51" s="36" t="s">
        <v>62</v>
      </c>
      <c r="M51" s="36" t="s">
        <v>63</v>
      </c>
      <c r="N51" s="36">
        <v>127160</v>
      </c>
      <c r="O51" s="36" t="s">
        <v>88</v>
      </c>
      <c r="P51" s="36" t="s">
        <v>65</v>
      </c>
      <c r="Q51" s="36">
        <v>1</v>
      </c>
      <c r="R51" s="36" t="s">
        <v>66</v>
      </c>
      <c r="S51" s="36" t="s">
        <v>67</v>
      </c>
      <c r="T51" s="36"/>
      <c r="U51" s="36" t="s">
        <v>68</v>
      </c>
      <c r="V51" s="36" t="s">
        <v>69</v>
      </c>
      <c r="W51" s="36" t="s">
        <v>70</v>
      </c>
      <c r="X51" s="36" t="s">
        <v>71</v>
      </c>
      <c r="Y51" s="36"/>
      <c r="Z51" s="36"/>
      <c r="AA51" s="36" t="s">
        <v>72</v>
      </c>
      <c r="AB51" s="36" t="s">
        <v>73</v>
      </c>
      <c r="AC51" s="36" t="s">
        <v>74</v>
      </c>
      <c r="AD51" s="36">
        <v>249986.1</v>
      </c>
      <c r="AE51" s="36"/>
      <c r="AF51" s="36"/>
      <c r="AG51" s="36"/>
      <c r="AH51" s="36"/>
      <c r="AI51" s="36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</row>
    <row r="52" spans="1:326" s="35" customFormat="1" x14ac:dyDescent="0.3">
      <c r="A52" s="34" t="s">
        <v>150</v>
      </c>
      <c r="B52" s="34">
        <v>2</v>
      </c>
      <c r="C52" s="34" t="s">
        <v>143</v>
      </c>
      <c r="D52" s="34"/>
      <c r="E52" s="34"/>
      <c r="F52" s="34" t="s">
        <v>60</v>
      </c>
      <c r="G52" s="34"/>
      <c r="H52" s="34" t="s">
        <v>77</v>
      </c>
      <c r="I52" s="34" t="s">
        <v>60</v>
      </c>
      <c r="J52" s="34"/>
      <c r="K52" s="34">
        <v>2025</v>
      </c>
      <c r="L52" s="34" t="s">
        <v>62</v>
      </c>
      <c r="M52" s="34" t="s">
        <v>63</v>
      </c>
      <c r="N52" s="34">
        <v>127160</v>
      </c>
      <c r="O52" s="34" t="s">
        <v>88</v>
      </c>
      <c r="P52" s="34" t="s">
        <v>65</v>
      </c>
      <c r="Q52" s="34">
        <v>1</v>
      </c>
      <c r="R52" s="34" t="s">
        <v>66</v>
      </c>
      <c r="S52" s="34" t="s">
        <v>67</v>
      </c>
      <c r="T52" s="34"/>
      <c r="U52" s="34" t="s">
        <v>68</v>
      </c>
      <c r="V52" s="34" t="s">
        <v>69</v>
      </c>
      <c r="W52" s="34" t="s">
        <v>70</v>
      </c>
      <c r="X52" s="34" t="s">
        <v>80</v>
      </c>
      <c r="Y52" s="34"/>
      <c r="Z52" s="34"/>
      <c r="AA52" s="34" t="s">
        <v>72</v>
      </c>
      <c r="AB52" s="34" t="s">
        <v>73</v>
      </c>
      <c r="AC52" s="34" t="s">
        <v>74</v>
      </c>
      <c r="AD52" s="34">
        <v>129859</v>
      </c>
      <c r="AE52" s="34"/>
      <c r="AF52" s="34"/>
      <c r="AG52" s="34"/>
      <c r="AH52" s="34"/>
      <c r="AI52" s="34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</row>
    <row r="53" spans="1:326" s="35" customFormat="1" x14ac:dyDescent="0.3">
      <c r="A53" s="36" t="s">
        <v>150</v>
      </c>
      <c r="B53" s="36">
        <v>2</v>
      </c>
      <c r="C53" s="36" t="s">
        <v>143</v>
      </c>
      <c r="D53" s="34"/>
      <c r="E53" s="36"/>
      <c r="F53" s="34" t="s">
        <v>60</v>
      </c>
      <c r="G53" s="34"/>
      <c r="H53" s="36" t="s">
        <v>77</v>
      </c>
      <c r="I53" s="34" t="s">
        <v>60</v>
      </c>
      <c r="J53" s="36"/>
      <c r="K53" s="36">
        <v>2025</v>
      </c>
      <c r="L53" s="36" t="s">
        <v>62</v>
      </c>
      <c r="M53" s="36" t="s">
        <v>63</v>
      </c>
      <c r="N53" s="36">
        <v>127160</v>
      </c>
      <c r="O53" s="36" t="s">
        <v>88</v>
      </c>
      <c r="P53" s="36" t="s">
        <v>65</v>
      </c>
      <c r="Q53" s="36">
        <v>1</v>
      </c>
      <c r="R53" s="36" t="s">
        <v>66</v>
      </c>
      <c r="S53" s="36" t="s">
        <v>87</v>
      </c>
      <c r="T53" s="36"/>
      <c r="U53" s="36" t="s">
        <v>68</v>
      </c>
      <c r="V53" s="36" t="s">
        <v>69</v>
      </c>
      <c r="W53" s="36" t="s">
        <v>70</v>
      </c>
      <c r="X53" s="36" t="s">
        <v>80</v>
      </c>
      <c r="Y53" s="36"/>
      <c r="Z53" s="36"/>
      <c r="AA53" s="36" t="s">
        <v>72</v>
      </c>
      <c r="AB53" s="36" t="s">
        <v>73</v>
      </c>
      <c r="AC53" s="36" t="s">
        <v>74</v>
      </c>
      <c r="AD53" s="36">
        <v>21964</v>
      </c>
      <c r="AE53" s="36"/>
      <c r="AF53" s="36"/>
      <c r="AG53" s="36"/>
      <c r="AH53" s="36"/>
      <c r="AI53" s="36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</row>
    <row r="54" spans="1:326" s="35" customFormat="1" x14ac:dyDescent="0.3">
      <c r="A54" s="34" t="s">
        <v>150</v>
      </c>
      <c r="B54" s="34">
        <v>2</v>
      </c>
      <c r="C54" s="34" t="s">
        <v>143</v>
      </c>
      <c r="D54" s="34"/>
      <c r="E54" s="34"/>
      <c r="F54" s="34" t="s">
        <v>60</v>
      </c>
      <c r="G54" s="34"/>
      <c r="H54" s="34" t="s">
        <v>77</v>
      </c>
      <c r="I54" s="34" t="s">
        <v>60</v>
      </c>
      <c r="J54" s="34"/>
      <c r="K54" s="34">
        <v>2025</v>
      </c>
      <c r="L54" s="34" t="s">
        <v>62</v>
      </c>
      <c r="M54" s="34" t="s">
        <v>63</v>
      </c>
      <c r="N54" s="34">
        <v>127160</v>
      </c>
      <c r="O54" s="34" t="s">
        <v>88</v>
      </c>
      <c r="P54" s="34" t="s">
        <v>65</v>
      </c>
      <c r="Q54" s="34">
        <v>2</v>
      </c>
      <c r="R54" s="34" t="s">
        <v>66</v>
      </c>
      <c r="S54" s="34" t="s">
        <v>67</v>
      </c>
      <c r="T54" s="34"/>
      <c r="U54" s="34" t="s">
        <v>68</v>
      </c>
      <c r="V54" s="34" t="s">
        <v>69</v>
      </c>
      <c r="W54" s="34" t="s">
        <v>70</v>
      </c>
      <c r="X54" s="34" t="s">
        <v>80</v>
      </c>
      <c r="Y54" s="34"/>
      <c r="Z54" s="34"/>
      <c r="AA54" s="34" t="s">
        <v>72</v>
      </c>
      <c r="AB54" s="34" t="s">
        <v>73</v>
      </c>
      <c r="AC54" s="34" t="s">
        <v>74</v>
      </c>
      <c r="AD54" s="34">
        <v>189721</v>
      </c>
      <c r="AE54" s="34"/>
      <c r="AF54" s="34"/>
      <c r="AG54" s="34"/>
      <c r="AH54" s="34"/>
      <c r="AI54" s="3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</row>
    <row r="55" spans="1:326" s="35" customFormat="1" x14ac:dyDescent="0.3">
      <c r="A55" s="36" t="s">
        <v>150</v>
      </c>
      <c r="B55" s="36">
        <v>2</v>
      </c>
      <c r="C55" s="36" t="s">
        <v>143</v>
      </c>
      <c r="D55" s="34"/>
      <c r="E55" s="36"/>
      <c r="F55" s="34" t="s">
        <v>60</v>
      </c>
      <c r="G55" s="34"/>
      <c r="H55" s="36" t="s">
        <v>77</v>
      </c>
      <c r="I55" s="34" t="s">
        <v>60</v>
      </c>
      <c r="J55" s="36"/>
      <c r="K55" s="36">
        <v>2025</v>
      </c>
      <c r="L55" s="36" t="s">
        <v>62</v>
      </c>
      <c r="M55" s="36" t="s">
        <v>63</v>
      </c>
      <c r="N55" s="36">
        <v>127160</v>
      </c>
      <c r="O55" s="36" t="s">
        <v>88</v>
      </c>
      <c r="P55" s="36" t="s">
        <v>65</v>
      </c>
      <c r="Q55" s="36">
        <v>2</v>
      </c>
      <c r="R55" s="36" t="s">
        <v>66</v>
      </c>
      <c r="S55" s="36" t="s">
        <v>87</v>
      </c>
      <c r="T55" s="36"/>
      <c r="U55" s="36" t="s">
        <v>68</v>
      </c>
      <c r="V55" s="36" t="s">
        <v>69</v>
      </c>
      <c r="W55" s="36" t="s">
        <v>70</v>
      </c>
      <c r="X55" s="36" t="s">
        <v>80</v>
      </c>
      <c r="Y55" s="36"/>
      <c r="Z55" s="36"/>
      <c r="AA55" s="36" t="s">
        <v>72</v>
      </c>
      <c r="AB55" s="36" t="s">
        <v>73</v>
      </c>
      <c r="AC55" s="36" t="s">
        <v>74</v>
      </c>
      <c r="AD55" s="36">
        <v>136971</v>
      </c>
      <c r="AE55" s="36"/>
      <c r="AF55" s="36"/>
      <c r="AG55" s="36"/>
      <c r="AH55" s="36"/>
      <c r="AI55" s="36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</row>
    <row r="56" spans="1:326" s="35" customFormat="1" x14ac:dyDescent="0.3">
      <c r="A56" s="34" t="s">
        <v>150</v>
      </c>
      <c r="B56" s="34">
        <v>2</v>
      </c>
      <c r="C56" s="34" t="s">
        <v>143</v>
      </c>
      <c r="D56" s="34"/>
      <c r="E56" s="34"/>
      <c r="F56" s="34" t="s">
        <v>60</v>
      </c>
      <c r="G56" s="34"/>
      <c r="H56" s="34" t="s">
        <v>77</v>
      </c>
      <c r="I56" s="34" t="s">
        <v>60</v>
      </c>
      <c r="J56" s="34"/>
      <c r="K56" s="34">
        <v>2025</v>
      </c>
      <c r="L56" s="34" t="s">
        <v>62</v>
      </c>
      <c r="M56" s="34" t="s">
        <v>63</v>
      </c>
      <c r="N56" s="34">
        <v>127160</v>
      </c>
      <c r="O56" s="34" t="s">
        <v>88</v>
      </c>
      <c r="P56" s="34" t="s">
        <v>65</v>
      </c>
      <c r="Q56" s="34">
        <v>3</v>
      </c>
      <c r="R56" s="34" t="s">
        <v>66</v>
      </c>
      <c r="S56" s="34" t="s">
        <v>67</v>
      </c>
      <c r="T56" s="34"/>
      <c r="U56" s="34" t="s">
        <v>68</v>
      </c>
      <c r="V56" s="34" t="s">
        <v>69</v>
      </c>
      <c r="W56" s="34" t="s">
        <v>70</v>
      </c>
      <c r="X56" s="34" t="s">
        <v>80</v>
      </c>
      <c r="Y56" s="34"/>
      <c r="Z56" s="34"/>
      <c r="AA56" s="34" t="s">
        <v>72</v>
      </c>
      <c r="AB56" s="34" t="s">
        <v>73</v>
      </c>
      <c r="AC56" s="34" t="s">
        <v>74</v>
      </c>
      <c r="AD56" s="34">
        <v>27010</v>
      </c>
      <c r="AE56" s="34"/>
      <c r="AF56" s="34"/>
      <c r="AG56" s="34"/>
      <c r="AH56" s="34"/>
      <c r="AI56" s="34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</row>
    <row r="57" spans="1:326" s="35" customFormat="1" x14ac:dyDescent="0.3">
      <c r="A57" s="36" t="s">
        <v>150</v>
      </c>
      <c r="B57" s="36">
        <v>2</v>
      </c>
      <c r="C57" s="36" t="s">
        <v>143</v>
      </c>
      <c r="D57" s="34"/>
      <c r="E57" s="36"/>
      <c r="F57" s="34" t="s">
        <v>60</v>
      </c>
      <c r="G57" s="34"/>
      <c r="H57" s="36" t="s">
        <v>77</v>
      </c>
      <c r="I57" s="34" t="s">
        <v>60</v>
      </c>
      <c r="J57" s="36"/>
      <c r="K57" s="36">
        <v>2025</v>
      </c>
      <c r="L57" s="36" t="s">
        <v>62</v>
      </c>
      <c r="M57" s="36" t="s">
        <v>63</v>
      </c>
      <c r="N57" s="36">
        <v>127160</v>
      </c>
      <c r="O57" s="36" t="s">
        <v>88</v>
      </c>
      <c r="P57" s="36" t="s">
        <v>65</v>
      </c>
      <c r="Q57" s="36">
        <v>3</v>
      </c>
      <c r="R57" s="36" t="s">
        <v>66</v>
      </c>
      <c r="S57" s="36" t="s">
        <v>87</v>
      </c>
      <c r="T57" s="36"/>
      <c r="U57" s="36" t="s">
        <v>68</v>
      </c>
      <c r="V57" s="36" t="s">
        <v>69</v>
      </c>
      <c r="W57" s="36" t="s">
        <v>70</v>
      </c>
      <c r="X57" s="36" t="s">
        <v>80</v>
      </c>
      <c r="Y57" s="36"/>
      <c r="Z57" s="36"/>
      <c r="AA57" s="36" t="s">
        <v>72</v>
      </c>
      <c r="AB57" s="36" t="s">
        <v>73</v>
      </c>
      <c r="AC57" s="36" t="s">
        <v>74</v>
      </c>
      <c r="AD57" s="36">
        <v>124506</v>
      </c>
      <c r="AE57" s="36"/>
      <c r="AF57" s="36"/>
      <c r="AG57" s="36"/>
      <c r="AH57" s="36"/>
      <c r="AI57" s="36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</row>
    <row r="58" spans="1:326" s="35" customFormat="1" x14ac:dyDescent="0.3">
      <c r="A58" s="34" t="s">
        <v>150</v>
      </c>
      <c r="B58" s="34">
        <v>2</v>
      </c>
      <c r="C58" s="34" t="s">
        <v>143</v>
      </c>
      <c r="D58" s="34"/>
      <c r="E58" s="34"/>
      <c r="F58" s="34" t="s">
        <v>60</v>
      </c>
      <c r="G58" s="34"/>
      <c r="H58" s="34" t="s">
        <v>77</v>
      </c>
      <c r="I58" s="34" t="s">
        <v>60</v>
      </c>
      <c r="J58" s="34"/>
      <c r="K58" s="34">
        <v>2025</v>
      </c>
      <c r="L58" s="34" t="s">
        <v>62</v>
      </c>
      <c r="M58" s="34" t="s">
        <v>63</v>
      </c>
      <c r="N58" s="34">
        <v>127160</v>
      </c>
      <c r="O58" s="34" t="s">
        <v>88</v>
      </c>
      <c r="P58" s="34" t="s">
        <v>65</v>
      </c>
      <c r="Q58" s="34">
        <v>4</v>
      </c>
      <c r="R58" s="34" t="s">
        <v>66</v>
      </c>
      <c r="S58" s="34" t="s">
        <v>67</v>
      </c>
      <c r="T58" s="34"/>
      <c r="U58" s="34" t="s">
        <v>68</v>
      </c>
      <c r="V58" s="34" t="s">
        <v>69</v>
      </c>
      <c r="W58" s="34" t="s">
        <v>70</v>
      </c>
      <c r="X58" s="34" t="s">
        <v>80</v>
      </c>
      <c r="Y58" s="34"/>
      <c r="Z58" s="34"/>
      <c r="AA58" s="34" t="s">
        <v>72</v>
      </c>
      <c r="AB58" s="34" t="s">
        <v>73</v>
      </c>
      <c r="AC58" s="34" t="s">
        <v>74</v>
      </c>
      <c r="AD58" s="34">
        <v>6776</v>
      </c>
      <c r="AE58" s="34"/>
      <c r="AF58" s="34"/>
      <c r="AG58" s="34"/>
      <c r="AH58" s="34"/>
      <c r="AI58" s="34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</row>
    <row r="59" spans="1:326" s="35" customFormat="1" x14ac:dyDescent="0.3">
      <c r="A59" s="36" t="s">
        <v>150</v>
      </c>
      <c r="B59" s="36">
        <v>2</v>
      </c>
      <c r="C59" s="36" t="s">
        <v>143</v>
      </c>
      <c r="D59" s="34"/>
      <c r="E59" s="36"/>
      <c r="F59" s="34" t="s">
        <v>60</v>
      </c>
      <c r="G59" s="34"/>
      <c r="H59" s="36" t="s">
        <v>77</v>
      </c>
      <c r="I59" s="34" t="s">
        <v>60</v>
      </c>
      <c r="J59" s="36"/>
      <c r="K59" s="36">
        <v>2025</v>
      </c>
      <c r="L59" s="36" t="s">
        <v>62</v>
      </c>
      <c r="M59" s="36" t="s">
        <v>63</v>
      </c>
      <c r="N59" s="36">
        <v>127160</v>
      </c>
      <c r="O59" s="36" t="s">
        <v>88</v>
      </c>
      <c r="P59" s="36" t="s">
        <v>65</v>
      </c>
      <c r="Q59" s="36">
        <v>4</v>
      </c>
      <c r="R59" s="36" t="s">
        <v>66</v>
      </c>
      <c r="S59" s="36" t="s">
        <v>87</v>
      </c>
      <c r="T59" s="36"/>
      <c r="U59" s="36" t="s">
        <v>68</v>
      </c>
      <c r="V59" s="36" t="s">
        <v>69</v>
      </c>
      <c r="W59" s="36" t="s">
        <v>70</v>
      </c>
      <c r="X59" s="36" t="s">
        <v>80</v>
      </c>
      <c r="Y59" s="36"/>
      <c r="Z59" s="36"/>
      <c r="AA59" s="36" t="s">
        <v>72</v>
      </c>
      <c r="AB59" s="36" t="s">
        <v>73</v>
      </c>
      <c r="AC59" s="36" t="s">
        <v>74</v>
      </c>
      <c r="AD59" s="36">
        <v>35862</v>
      </c>
      <c r="AE59" s="36"/>
      <c r="AF59" s="36"/>
      <c r="AG59" s="36"/>
      <c r="AH59" s="36"/>
      <c r="AI59" s="36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</row>
    <row r="61" spans="1:326" x14ac:dyDescent="0.3">
      <c r="L61" t="s">
        <v>58</v>
      </c>
    </row>
    <row r="62" spans="1:326" x14ac:dyDescent="0.3">
      <c r="A62" s="2" t="s">
        <v>24</v>
      </c>
      <c r="B62" s="2" t="s">
        <v>25</v>
      </c>
      <c r="C62" s="2" t="s">
        <v>142</v>
      </c>
      <c r="D62" s="2" t="s">
        <v>139</v>
      </c>
      <c r="E62" s="2" t="s">
        <v>140</v>
      </c>
      <c r="F62" s="2" t="s">
        <v>26</v>
      </c>
      <c r="G62" s="2"/>
      <c r="H62" s="2" t="s">
        <v>27</v>
      </c>
      <c r="I62" s="2" t="s">
        <v>28</v>
      </c>
      <c r="J62" s="2" t="s">
        <v>29</v>
      </c>
      <c r="K62" s="2" t="s">
        <v>30</v>
      </c>
      <c r="L62" s="2" t="s">
        <v>144</v>
      </c>
      <c r="M62" s="2" t="s">
        <v>31</v>
      </c>
      <c r="N62" s="2" t="s">
        <v>32</v>
      </c>
      <c r="O62" s="2" t="s">
        <v>33</v>
      </c>
      <c r="P62" s="2" t="s">
        <v>34</v>
      </c>
      <c r="Q62" s="2" t="s">
        <v>35</v>
      </c>
      <c r="R62" s="2" t="s">
        <v>36</v>
      </c>
      <c r="S62" s="2" t="s">
        <v>37</v>
      </c>
      <c r="T62" s="2" t="s">
        <v>38</v>
      </c>
      <c r="U62" s="2" t="s">
        <v>39</v>
      </c>
      <c r="V62" s="2" t="s">
        <v>40</v>
      </c>
      <c r="W62" s="2" t="s">
        <v>41</v>
      </c>
      <c r="X62" s="2" t="s">
        <v>42</v>
      </c>
      <c r="Y62" s="2" t="s">
        <v>43</v>
      </c>
      <c r="Z62" s="2" t="s">
        <v>44</v>
      </c>
      <c r="AA62" s="2" t="s">
        <v>54</v>
      </c>
      <c r="AB62" s="2" t="s">
        <v>55</v>
      </c>
      <c r="AC62" s="2" t="s">
        <v>56</v>
      </c>
      <c r="AD62" s="2" t="s">
        <v>53</v>
      </c>
    </row>
    <row r="63" spans="1:326" s="7" customFormat="1" x14ac:dyDescent="0.3">
      <c r="A63" s="6" t="s">
        <v>151</v>
      </c>
      <c r="B63" s="6">
        <v>1</v>
      </c>
      <c r="C63" s="6" t="s">
        <v>82</v>
      </c>
      <c r="D63" s="6" t="s">
        <v>90</v>
      </c>
      <c r="E63" s="6" t="s">
        <v>83</v>
      </c>
      <c r="F63" s="6" t="s">
        <v>60</v>
      </c>
      <c r="G63" s="6"/>
      <c r="H63" s="6" t="s">
        <v>61</v>
      </c>
      <c r="I63" s="6" t="s">
        <v>60</v>
      </c>
      <c r="J63" s="6"/>
      <c r="K63" s="6">
        <v>2025</v>
      </c>
      <c r="L63" s="6">
        <v>2025</v>
      </c>
      <c r="M63" s="6" t="s">
        <v>62</v>
      </c>
      <c r="N63" s="6" t="s">
        <v>63</v>
      </c>
      <c r="O63" s="6">
        <v>127160</v>
      </c>
      <c r="P63" s="6" t="s">
        <v>64</v>
      </c>
      <c r="Q63" s="6" t="s">
        <v>65</v>
      </c>
      <c r="R63" s="6">
        <v>1</v>
      </c>
      <c r="S63" s="6" t="s">
        <v>66</v>
      </c>
      <c r="T63" s="6" t="s">
        <v>67</v>
      </c>
      <c r="U63" s="6"/>
      <c r="V63" s="6" t="s">
        <v>68</v>
      </c>
      <c r="W63" s="6" t="s">
        <v>69</v>
      </c>
      <c r="X63" s="6" t="s">
        <v>70</v>
      </c>
      <c r="Y63" s="6" t="s">
        <v>71</v>
      </c>
      <c r="Z63" s="6"/>
      <c r="AA63" s="6" t="s">
        <v>88</v>
      </c>
      <c r="AB63" s="6" t="s">
        <v>73</v>
      </c>
      <c r="AC63" s="6" t="s">
        <v>91</v>
      </c>
      <c r="AD63" s="6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</row>
    <row r="64" spans="1:326" s="7" customFormat="1" x14ac:dyDescent="0.3">
      <c r="A64" s="6" t="s">
        <v>151</v>
      </c>
      <c r="B64" s="6">
        <v>1</v>
      </c>
      <c r="C64" s="6" t="s">
        <v>82</v>
      </c>
      <c r="D64" s="6" t="s">
        <v>90</v>
      </c>
      <c r="E64" s="8" t="s">
        <v>83</v>
      </c>
      <c r="F64" s="6" t="s">
        <v>60</v>
      </c>
      <c r="G64" s="6"/>
      <c r="H64" s="8" t="s">
        <v>77</v>
      </c>
      <c r="I64" s="8" t="s">
        <v>60</v>
      </c>
      <c r="J64" s="8"/>
      <c r="K64" s="8">
        <v>2025</v>
      </c>
      <c r="L64" s="6">
        <v>2025</v>
      </c>
      <c r="M64" s="8" t="s">
        <v>62</v>
      </c>
      <c r="N64" s="8" t="s">
        <v>63</v>
      </c>
      <c r="O64" s="8">
        <v>127160</v>
      </c>
      <c r="P64" s="8" t="s">
        <v>64</v>
      </c>
      <c r="Q64" s="8" t="s">
        <v>78</v>
      </c>
      <c r="R64" s="8">
        <v>2025</v>
      </c>
      <c r="S64" s="8" t="s">
        <v>66</v>
      </c>
      <c r="T64" s="8" t="s">
        <v>79</v>
      </c>
      <c r="U64" s="8"/>
      <c r="V64" s="8" t="s">
        <v>68</v>
      </c>
      <c r="W64" s="8" t="s">
        <v>69</v>
      </c>
      <c r="X64" s="8" t="s">
        <v>70</v>
      </c>
      <c r="Y64" s="8" t="s">
        <v>80</v>
      </c>
      <c r="Z64" s="8"/>
      <c r="AA64" s="8" t="s">
        <v>88</v>
      </c>
      <c r="AB64" s="6" t="s">
        <v>73</v>
      </c>
      <c r="AC64" s="6" t="s">
        <v>91</v>
      </c>
      <c r="AD64" s="6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</row>
    <row r="65" spans="1:317" s="13" customFormat="1" x14ac:dyDescent="0.3">
      <c r="A65" s="12" t="s">
        <v>151</v>
      </c>
      <c r="B65" s="12">
        <v>2</v>
      </c>
      <c r="C65" s="12" t="s">
        <v>143</v>
      </c>
      <c r="D65" s="12" t="s">
        <v>92</v>
      </c>
      <c r="E65" s="12" t="s">
        <v>83</v>
      </c>
      <c r="F65" s="12" t="s">
        <v>60</v>
      </c>
      <c r="G65" s="12"/>
      <c r="H65" s="12" t="s">
        <v>61</v>
      </c>
      <c r="I65" s="12" t="s">
        <v>60</v>
      </c>
      <c r="J65" s="12"/>
      <c r="K65" s="12">
        <v>2025</v>
      </c>
      <c r="L65" s="12">
        <v>2024</v>
      </c>
      <c r="M65" s="12" t="s">
        <v>62</v>
      </c>
      <c r="N65" s="12" t="s">
        <v>63</v>
      </c>
      <c r="O65" s="12">
        <v>127160</v>
      </c>
      <c r="P65" s="12" t="s">
        <v>64</v>
      </c>
      <c r="Q65" s="12" t="s">
        <v>65</v>
      </c>
      <c r="R65" s="12">
        <v>1</v>
      </c>
      <c r="S65" s="12" t="s">
        <v>66</v>
      </c>
      <c r="T65" s="12" t="s">
        <v>67</v>
      </c>
      <c r="U65" s="12"/>
      <c r="V65" s="12" t="s">
        <v>68</v>
      </c>
      <c r="W65" s="12" t="s">
        <v>69</v>
      </c>
      <c r="X65" s="12" t="s">
        <v>70</v>
      </c>
      <c r="Y65" s="12" t="s">
        <v>71</v>
      </c>
      <c r="Z65" s="12"/>
      <c r="AA65" s="12" t="s">
        <v>88</v>
      </c>
      <c r="AB65" s="12" t="s">
        <v>73</v>
      </c>
      <c r="AC65" s="12" t="s">
        <v>91</v>
      </c>
      <c r="AD65" s="12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F9E5A-D161-4FAE-AA2B-1A3028B49EC6}">
  <dimension ref="A1:AU92"/>
  <sheetViews>
    <sheetView topLeftCell="A39" zoomScale="80" zoomScaleNormal="80" workbookViewId="0">
      <selection activeCell="G1" sqref="G1:G1048576"/>
    </sheetView>
  </sheetViews>
  <sheetFormatPr defaultRowHeight="15" customHeight="1" x14ac:dyDescent="0.3"/>
  <cols>
    <col min="1" max="1" width="11.109375" bestFit="1" customWidth="1"/>
    <col min="2" max="2" width="13.5546875" customWidth="1"/>
    <col min="3" max="3" width="34" bestFit="1" customWidth="1"/>
    <col min="4" max="4" width="32.109375" bestFit="1" customWidth="1"/>
    <col min="5" max="5" width="32.109375" customWidth="1"/>
    <col min="6" max="6" width="12.6640625" bestFit="1" customWidth="1"/>
    <col min="7" max="7" width="12.88671875" bestFit="1" customWidth="1"/>
    <col min="8" max="8" width="13.5546875" bestFit="1" customWidth="1"/>
    <col min="9" max="9" width="15.5546875" customWidth="1"/>
    <col min="10" max="10" width="14.109375" bestFit="1" customWidth="1"/>
    <col min="11" max="11" width="11.44140625" bestFit="1" customWidth="1"/>
    <col min="12" max="12" width="12.88671875" bestFit="1" customWidth="1"/>
    <col min="13" max="13" width="14.44140625" bestFit="1" customWidth="1"/>
    <col min="14" max="14" width="11.6640625" bestFit="1" customWidth="1"/>
    <col min="15" max="15" width="12.6640625" bestFit="1" customWidth="1"/>
    <col min="16" max="16" width="9.33203125" bestFit="1" customWidth="1"/>
    <col min="17" max="17" width="24.5546875" bestFit="1" customWidth="1"/>
    <col min="18" max="18" width="24.88671875" bestFit="1" customWidth="1"/>
    <col min="19" max="19" width="19.88671875" bestFit="1" customWidth="1"/>
    <col min="20" max="20" width="9.5546875" bestFit="1" customWidth="1"/>
    <col min="21" max="21" width="19.88671875" bestFit="1" customWidth="1"/>
    <col min="22" max="22" width="31.6640625" bestFit="1" customWidth="1"/>
    <col min="23" max="23" width="29.88671875" bestFit="1" customWidth="1"/>
    <col min="24" max="24" width="19.5546875" customWidth="1"/>
    <col min="25" max="25" width="11.88671875" bestFit="1" customWidth="1"/>
    <col min="26" max="26" width="19.44140625" customWidth="1"/>
    <col min="27" max="27" width="16" bestFit="1" customWidth="1"/>
    <col min="28" max="28" width="15.44140625" bestFit="1" customWidth="1"/>
    <col min="29" max="29" width="16.6640625" bestFit="1" customWidth="1"/>
    <col min="30" max="30" width="13.6640625" bestFit="1" customWidth="1"/>
    <col min="31" max="31" width="13.33203125" bestFit="1" customWidth="1"/>
    <col min="32" max="32" width="22.6640625" customWidth="1"/>
    <col min="33" max="33" width="22.109375" customWidth="1"/>
    <col min="34" max="34" width="14.109375" customWidth="1"/>
    <col min="35" max="35" width="23.44140625" customWidth="1"/>
    <col min="36" max="36" width="24.88671875" customWidth="1"/>
    <col min="37" max="37" width="8.6640625" bestFit="1" customWidth="1"/>
    <col min="38" max="38" width="10.44140625" bestFit="1" customWidth="1"/>
    <col min="39" max="39" width="9.88671875" bestFit="1" customWidth="1"/>
    <col min="40" max="40" width="9.44140625" bestFit="1" customWidth="1"/>
    <col min="41" max="41" width="18.88671875" bestFit="1" customWidth="1"/>
    <col min="42" max="42" width="18.109375" bestFit="1" customWidth="1"/>
    <col min="43" max="43" width="17.88671875" bestFit="1" customWidth="1"/>
    <col min="44" max="44" width="17.5546875" customWidth="1"/>
  </cols>
  <sheetData>
    <row r="1" spans="1:45" ht="15" customHeight="1" x14ac:dyDescent="0.3">
      <c r="A1" s="2" t="s">
        <v>24</v>
      </c>
      <c r="B1" s="2" t="s">
        <v>25</v>
      </c>
      <c r="C1" s="2" t="s">
        <v>142</v>
      </c>
      <c r="D1" s="2" t="s">
        <v>138</v>
      </c>
      <c r="E1" s="2" t="s">
        <v>141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93</v>
      </c>
      <c r="L1" s="2" t="s">
        <v>32</v>
      </c>
      <c r="M1" s="2" t="s">
        <v>33</v>
      </c>
      <c r="N1" s="2" t="s">
        <v>34</v>
      </c>
      <c r="O1" s="2" t="s">
        <v>35</v>
      </c>
      <c r="P1" s="2" t="s">
        <v>36</v>
      </c>
      <c r="Q1" s="2" t="s">
        <v>37</v>
      </c>
      <c r="R1" s="2" t="s">
        <v>38</v>
      </c>
      <c r="S1" s="2" t="s">
        <v>39</v>
      </c>
      <c r="T1" s="2" t="s">
        <v>40</v>
      </c>
      <c r="U1" s="2" t="s">
        <v>41</v>
      </c>
      <c r="V1" s="2" t="s">
        <v>42</v>
      </c>
      <c r="W1" s="2" t="s">
        <v>59</v>
      </c>
      <c r="X1" s="2" t="s">
        <v>45</v>
      </c>
      <c r="Y1" s="2" t="s">
        <v>46</v>
      </c>
      <c r="Z1" s="2" t="s">
        <v>47</v>
      </c>
      <c r="AA1" s="2" t="s">
        <v>48</v>
      </c>
      <c r="AB1" s="2" t="s">
        <v>94</v>
      </c>
      <c r="AC1" s="2" t="s">
        <v>95</v>
      </c>
      <c r="AD1" s="2" t="s">
        <v>96</v>
      </c>
      <c r="AE1" s="2" t="s">
        <v>97</v>
      </c>
      <c r="AF1" s="2" t="s">
        <v>98</v>
      </c>
      <c r="AG1" s="2" t="s">
        <v>99</v>
      </c>
      <c r="AH1" s="2" t="s">
        <v>46</v>
      </c>
      <c r="AI1" s="2" t="s">
        <v>47</v>
      </c>
      <c r="AJ1" s="2" t="s">
        <v>100</v>
      </c>
      <c r="AK1" s="2" t="s">
        <v>101</v>
      </c>
      <c r="AL1" s="2" t="s">
        <v>49</v>
      </c>
      <c r="AM1" s="2" t="s">
        <v>50</v>
      </c>
      <c r="AN1" s="2" t="s">
        <v>51</v>
      </c>
      <c r="AO1" s="2" t="s">
        <v>52</v>
      </c>
      <c r="AP1" s="2" t="s">
        <v>102</v>
      </c>
      <c r="AQ1" s="2"/>
      <c r="AR1" s="2"/>
      <c r="AS1" s="2"/>
    </row>
    <row r="2" spans="1:45" s="4" customFormat="1" ht="15" customHeight="1" x14ac:dyDescent="0.3">
      <c r="A2" s="4" t="s">
        <v>152</v>
      </c>
      <c r="B2" s="4">
        <v>1</v>
      </c>
      <c r="C2" s="4" t="s">
        <v>82</v>
      </c>
      <c r="F2" s="4" t="s">
        <v>60</v>
      </c>
      <c r="G2" s="4" t="s">
        <v>103</v>
      </c>
      <c r="H2" s="4" t="s">
        <v>60</v>
      </c>
      <c r="J2" s="4">
        <v>2023</v>
      </c>
      <c r="K2" s="4" t="s">
        <v>104</v>
      </c>
      <c r="L2" s="4" t="s">
        <v>105</v>
      </c>
      <c r="M2" s="25">
        <v>1583421</v>
      </c>
      <c r="N2" s="4" t="s">
        <v>64</v>
      </c>
      <c r="O2" s="4" t="s">
        <v>65</v>
      </c>
      <c r="P2" s="4">
        <v>1</v>
      </c>
      <c r="Q2" s="4" t="s">
        <v>66</v>
      </c>
      <c r="R2" s="4" t="s">
        <v>106</v>
      </c>
      <c r="S2" s="4" t="s">
        <v>107</v>
      </c>
      <c r="T2" s="4" t="s">
        <v>108</v>
      </c>
      <c r="U2" s="4" t="s">
        <v>69</v>
      </c>
      <c r="V2" s="4" t="s">
        <v>108</v>
      </c>
      <c r="W2" s="4" t="s">
        <v>109</v>
      </c>
      <c r="X2" s="4" t="s">
        <v>72</v>
      </c>
      <c r="Y2" s="4" t="s">
        <v>73</v>
      </c>
      <c r="Z2" s="4" t="s">
        <v>110</v>
      </c>
      <c r="AA2" s="4">
        <f>SUMPRODUCT(AK2:AK8,AK9:AK15)</f>
        <v>17.618707181469951</v>
      </c>
      <c r="AB2" s="4" t="s">
        <v>111</v>
      </c>
      <c r="AC2" s="4" t="s">
        <v>112</v>
      </c>
      <c r="AD2" s="4">
        <v>20</v>
      </c>
      <c r="AH2" s="4" t="s">
        <v>113</v>
      </c>
      <c r="AI2" s="4" t="s">
        <v>114</v>
      </c>
      <c r="AJ2" s="4" t="s">
        <v>115</v>
      </c>
      <c r="AK2" s="4">
        <v>66.419291612678506</v>
      </c>
      <c r="AM2" s="4" t="s">
        <v>116</v>
      </c>
      <c r="AN2" s="4">
        <v>2</v>
      </c>
      <c r="AO2" s="4">
        <v>2</v>
      </c>
      <c r="AP2" s="26">
        <v>7</v>
      </c>
    </row>
    <row r="3" spans="1:45" s="4" customFormat="1" ht="15" customHeight="1" x14ac:dyDescent="0.3">
      <c r="A3" s="4" t="s">
        <v>152</v>
      </c>
      <c r="B3" s="4">
        <v>1</v>
      </c>
      <c r="C3" s="4" t="s">
        <v>82</v>
      </c>
      <c r="F3" s="4" t="s">
        <v>60</v>
      </c>
      <c r="G3" s="4" t="s">
        <v>103</v>
      </c>
      <c r="H3" s="4" t="s">
        <v>60</v>
      </c>
      <c r="J3" s="4">
        <v>2023</v>
      </c>
      <c r="K3" s="4" t="s">
        <v>104</v>
      </c>
      <c r="L3" s="4" t="s">
        <v>105</v>
      </c>
      <c r="M3" s="25">
        <v>1583421</v>
      </c>
      <c r="N3" s="4" t="s">
        <v>64</v>
      </c>
      <c r="O3" s="4" t="s">
        <v>65</v>
      </c>
      <c r="P3" s="4">
        <v>1</v>
      </c>
      <c r="Q3" s="4" t="s">
        <v>66</v>
      </c>
      <c r="R3" s="4" t="s">
        <v>106</v>
      </c>
      <c r="S3" s="4" t="s">
        <v>107</v>
      </c>
      <c r="T3" s="4" t="s">
        <v>108</v>
      </c>
      <c r="U3" s="4" t="s">
        <v>69</v>
      </c>
      <c r="V3" s="4" t="s">
        <v>108</v>
      </c>
      <c r="W3" s="4" t="s">
        <v>109</v>
      </c>
      <c r="X3" s="4" t="s">
        <v>72</v>
      </c>
      <c r="Y3" s="4" t="s">
        <v>73</v>
      </c>
      <c r="Z3" s="4" t="s">
        <v>110</v>
      </c>
      <c r="AA3" s="4">
        <v>17.618707181469951</v>
      </c>
      <c r="AB3" s="4" t="s">
        <v>111</v>
      </c>
      <c r="AC3" s="4" t="s">
        <v>112</v>
      </c>
      <c r="AD3" s="4">
        <v>21</v>
      </c>
      <c r="AH3" s="4" t="s">
        <v>113</v>
      </c>
      <c r="AI3" s="4" t="s">
        <v>114</v>
      </c>
      <c r="AJ3" s="4" t="s">
        <v>115</v>
      </c>
      <c r="AK3" s="4">
        <v>97.061159346958206</v>
      </c>
      <c r="AM3" s="4" t="s">
        <v>116</v>
      </c>
      <c r="AN3" s="4">
        <v>2</v>
      </c>
      <c r="AO3" s="4">
        <v>2</v>
      </c>
      <c r="AP3" s="26">
        <v>10</v>
      </c>
    </row>
    <row r="4" spans="1:45" s="4" customFormat="1" ht="15" customHeight="1" x14ac:dyDescent="0.3">
      <c r="A4" s="4" t="s">
        <v>152</v>
      </c>
      <c r="B4" s="4">
        <v>1</v>
      </c>
      <c r="C4" s="4" t="s">
        <v>82</v>
      </c>
      <c r="F4" s="4" t="s">
        <v>60</v>
      </c>
      <c r="G4" s="4" t="s">
        <v>103</v>
      </c>
      <c r="H4" s="4" t="s">
        <v>60</v>
      </c>
      <c r="J4" s="4">
        <v>2023</v>
      </c>
      <c r="K4" s="4" t="s">
        <v>104</v>
      </c>
      <c r="L4" s="4" t="s">
        <v>105</v>
      </c>
      <c r="M4" s="25">
        <v>1583421</v>
      </c>
      <c r="N4" s="4" t="s">
        <v>64</v>
      </c>
      <c r="O4" s="4" t="s">
        <v>65</v>
      </c>
      <c r="P4" s="4">
        <v>1</v>
      </c>
      <c r="Q4" s="4" t="s">
        <v>66</v>
      </c>
      <c r="R4" s="4" t="s">
        <v>106</v>
      </c>
      <c r="S4" s="4" t="s">
        <v>107</v>
      </c>
      <c r="T4" s="4" t="s">
        <v>108</v>
      </c>
      <c r="U4" s="4" t="s">
        <v>69</v>
      </c>
      <c r="V4" s="4" t="s">
        <v>108</v>
      </c>
      <c r="W4" s="4" t="s">
        <v>109</v>
      </c>
      <c r="X4" s="4" t="s">
        <v>72</v>
      </c>
      <c r="Y4" s="4" t="s">
        <v>73</v>
      </c>
      <c r="Z4" s="4" t="s">
        <v>110</v>
      </c>
      <c r="AA4" s="4">
        <v>17.618707181469951</v>
      </c>
      <c r="AB4" s="4" t="s">
        <v>111</v>
      </c>
      <c r="AC4" s="4" t="s">
        <v>112</v>
      </c>
      <c r="AD4" s="4">
        <v>22</v>
      </c>
      <c r="AH4" s="4" t="s">
        <v>113</v>
      </c>
      <c r="AI4" s="4" t="s">
        <v>114</v>
      </c>
      <c r="AJ4" s="4" t="s">
        <v>115</v>
      </c>
      <c r="AK4" s="4">
        <v>31.109037281028701</v>
      </c>
      <c r="AM4" s="4" t="s">
        <v>116</v>
      </c>
      <c r="AN4" s="4">
        <v>2</v>
      </c>
      <c r="AO4" s="4">
        <v>2</v>
      </c>
      <c r="AP4" s="26">
        <v>3</v>
      </c>
    </row>
    <row r="5" spans="1:45" s="4" customFormat="1" ht="15" customHeight="1" x14ac:dyDescent="0.3">
      <c r="A5" s="4" t="s">
        <v>152</v>
      </c>
      <c r="B5" s="4">
        <v>1</v>
      </c>
      <c r="C5" s="4" t="s">
        <v>82</v>
      </c>
      <c r="F5" s="4" t="s">
        <v>60</v>
      </c>
      <c r="G5" s="4" t="s">
        <v>103</v>
      </c>
      <c r="H5" s="4" t="s">
        <v>60</v>
      </c>
      <c r="J5" s="4">
        <v>2023</v>
      </c>
      <c r="K5" s="4" t="s">
        <v>104</v>
      </c>
      <c r="L5" s="4" t="s">
        <v>105</v>
      </c>
      <c r="M5" s="25">
        <v>1583421</v>
      </c>
      <c r="N5" s="4" t="s">
        <v>64</v>
      </c>
      <c r="O5" s="4" t="s">
        <v>65</v>
      </c>
      <c r="P5" s="4">
        <v>1</v>
      </c>
      <c r="Q5" s="4" t="s">
        <v>66</v>
      </c>
      <c r="R5" s="4" t="s">
        <v>106</v>
      </c>
      <c r="S5" s="4" t="s">
        <v>107</v>
      </c>
      <c r="T5" s="4" t="s">
        <v>108</v>
      </c>
      <c r="U5" s="4" t="s">
        <v>69</v>
      </c>
      <c r="V5" s="4" t="s">
        <v>108</v>
      </c>
      <c r="W5" s="4" t="s">
        <v>109</v>
      </c>
      <c r="X5" s="4" t="s">
        <v>72</v>
      </c>
      <c r="Y5" s="4" t="s">
        <v>73</v>
      </c>
      <c r="Z5" s="4" t="s">
        <v>110</v>
      </c>
      <c r="AA5" s="4">
        <v>17.618707181469951</v>
      </c>
      <c r="AB5" s="4" t="s">
        <v>111</v>
      </c>
      <c r="AC5" s="4" t="s">
        <v>112</v>
      </c>
      <c r="AD5" s="4">
        <v>23</v>
      </c>
      <c r="AH5" s="4" t="s">
        <v>113</v>
      </c>
      <c r="AI5" s="4" t="s">
        <v>114</v>
      </c>
      <c r="AJ5" s="4" t="s">
        <v>115</v>
      </c>
      <c r="AK5" s="4">
        <v>294.43272416422002</v>
      </c>
      <c r="AM5" s="4" t="s">
        <v>116</v>
      </c>
      <c r="AN5" s="4">
        <v>2</v>
      </c>
      <c r="AO5" s="4">
        <v>2</v>
      </c>
      <c r="AP5" s="26">
        <v>29</v>
      </c>
    </row>
    <row r="6" spans="1:45" s="4" customFormat="1" ht="15" customHeight="1" x14ac:dyDescent="0.3">
      <c r="A6" s="4" t="s">
        <v>152</v>
      </c>
      <c r="B6" s="4">
        <v>1</v>
      </c>
      <c r="C6" s="4" t="s">
        <v>82</v>
      </c>
      <c r="F6" s="4" t="s">
        <v>60</v>
      </c>
      <c r="G6" s="4" t="s">
        <v>103</v>
      </c>
      <c r="H6" s="4" t="s">
        <v>60</v>
      </c>
      <c r="J6" s="4">
        <v>2023</v>
      </c>
      <c r="K6" s="4" t="s">
        <v>104</v>
      </c>
      <c r="L6" s="4" t="s">
        <v>105</v>
      </c>
      <c r="M6" s="25">
        <v>1583421</v>
      </c>
      <c r="N6" s="4" t="s">
        <v>64</v>
      </c>
      <c r="O6" s="4" t="s">
        <v>65</v>
      </c>
      <c r="P6" s="4">
        <v>1</v>
      </c>
      <c r="Q6" s="4" t="s">
        <v>66</v>
      </c>
      <c r="R6" s="4" t="s">
        <v>106</v>
      </c>
      <c r="S6" s="4" t="s">
        <v>107</v>
      </c>
      <c r="T6" s="4" t="s">
        <v>108</v>
      </c>
      <c r="U6" s="4" t="s">
        <v>69</v>
      </c>
      <c r="V6" s="4" t="s">
        <v>108</v>
      </c>
      <c r="W6" s="4" t="s">
        <v>109</v>
      </c>
      <c r="X6" s="4" t="s">
        <v>72</v>
      </c>
      <c r="Y6" s="4" t="s">
        <v>73</v>
      </c>
      <c r="Z6" s="4" t="s">
        <v>110</v>
      </c>
      <c r="AA6" s="4">
        <v>17.618707181469951</v>
      </c>
      <c r="AB6" s="4" t="s">
        <v>111</v>
      </c>
      <c r="AC6" s="4" t="s">
        <v>112</v>
      </c>
      <c r="AD6" s="4">
        <v>24</v>
      </c>
      <c r="AH6" s="4" t="s">
        <v>113</v>
      </c>
      <c r="AI6" s="4" t="s">
        <v>114</v>
      </c>
      <c r="AJ6" s="4" t="s">
        <v>115</v>
      </c>
      <c r="AK6" s="4">
        <v>437.30124909118098</v>
      </c>
      <c r="AM6" s="4" t="s">
        <v>116</v>
      </c>
      <c r="AN6" s="4">
        <v>2</v>
      </c>
      <c r="AO6" s="4">
        <v>2</v>
      </c>
      <c r="AP6" s="26">
        <v>44</v>
      </c>
    </row>
    <row r="7" spans="1:45" s="4" customFormat="1" ht="15" customHeight="1" x14ac:dyDescent="0.3">
      <c r="A7" s="4" t="s">
        <v>152</v>
      </c>
      <c r="B7" s="4">
        <v>1</v>
      </c>
      <c r="C7" s="4" t="s">
        <v>82</v>
      </c>
      <c r="F7" s="4" t="s">
        <v>60</v>
      </c>
      <c r="G7" s="4" t="s">
        <v>103</v>
      </c>
      <c r="H7" s="4" t="s">
        <v>60</v>
      </c>
      <c r="J7" s="4">
        <v>2023</v>
      </c>
      <c r="K7" s="4" t="s">
        <v>104</v>
      </c>
      <c r="L7" s="4" t="s">
        <v>105</v>
      </c>
      <c r="M7" s="25">
        <v>1583421</v>
      </c>
      <c r="N7" s="4" t="s">
        <v>64</v>
      </c>
      <c r="O7" s="4" t="s">
        <v>65</v>
      </c>
      <c r="P7" s="4">
        <v>1</v>
      </c>
      <c r="Q7" s="4" t="s">
        <v>66</v>
      </c>
      <c r="R7" s="4" t="s">
        <v>106</v>
      </c>
      <c r="S7" s="4" t="s">
        <v>107</v>
      </c>
      <c r="T7" s="4" t="s">
        <v>108</v>
      </c>
      <c r="U7" s="4" t="s">
        <v>69</v>
      </c>
      <c r="V7" s="4" t="s">
        <v>108</v>
      </c>
      <c r="W7" s="4" t="s">
        <v>109</v>
      </c>
      <c r="X7" s="4" t="s">
        <v>72</v>
      </c>
      <c r="Y7" s="4" t="s">
        <v>73</v>
      </c>
      <c r="Z7" s="4" t="s">
        <v>110</v>
      </c>
      <c r="AA7" s="4">
        <v>17.618707181469951</v>
      </c>
      <c r="AB7" s="4" t="s">
        <v>111</v>
      </c>
      <c r="AC7" s="4" t="s">
        <v>112</v>
      </c>
      <c r="AD7" s="4">
        <v>25</v>
      </c>
      <c r="AH7" s="4" t="s">
        <v>113</v>
      </c>
      <c r="AI7" s="4" t="s">
        <v>114</v>
      </c>
      <c r="AJ7" s="4" t="s">
        <v>115</v>
      </c>
      <c r="AK7" s="4">
        <v>498.77940332288699</v>
      </c>
      <c r="AM7" s="4" t="s">
        <v>116</v>
      </c>
      <c r="AN7" s="4">
        <v>2</v>
      </c>
      <c r="AO7" s="4">
        <v>2</v>
      </c>
      <c r="AP7" s="26">
        <v>50</v>
      </c>
    </row>
    <row r="8" spans="1:45" s="4" customFormat="1" ht="15" customHeight="1" x14ac:dyDescent="0.3">
      <c r="A8" s="4" t="s">
        <v>152</v>
      </c>
      <c r="B8" s="4">
        <v>1</v>
      </c>
      <c r="C8" s="4" t="s">
        <v>82</v>
      </c>
      <c r="F8" s="4" t="s">
        <v>60</v>
      </c>
      <c r="G8" s="4" t="s">
        <v>103</v>
      </c>
      <c r="H8" s="4" t="s">
        <v>60</v>
      </c>
      <c r="J8" s="4">
        <v>2023</v>
      </c>
      <c r="K8" s="4" t="s">
        <v>104</v>
      </c>
      <c r="L8" s="4" t="s">
        <v>105</v>
      </c>
      <c r="M8" s="25">
        <v>1583421</v>
      </c>
      <c r="N8" s="4" t="s">
        <v>64</v>
      </c>
      <c r="O8" s="4" t="s">
        <v>65</v>
      </c>
      <c r="P8" s="4">
        <v>1</v>
      </c>
      <c r="Q8" s="4" t="s">
        <v>66</v>
      </c>
      <c r="R8" s="4" t="s">
        <v>106</v>
      </c>
      <c r="S8" s="4" t="s">
        <v>107</v>
      </c>
      <c r="T8" s="4" t="s">
        <v>108</v>
      </c>
      <c r="U8" s="4" t="s">
        <v>69</v>
      </c>
      <c r="V8" s="4" t="s">
        <v>108</v>
      </c>
      <c r="W8" s="4" t="s">
        <v>109</v>
      </c>
      <c r="X8" s="4" t="s">
        <v>72</v>
      </c>
      <c r="Y8" s="4" t="s">
        <v>73</v>
      </c>
      <c r="Z8" s="4" t="s">
        <v>110</v>
      </c>
      <c r="AA8" s="4">
        <v>17.618707181469951</v>
      </c>
      <c r="AB8" s="4" t="s">
        <v>111</v>
      </c>
      <c r="AC8" s="4" t="s">
        <v>112</v>
      </c>
      <c r="AD8" s="4">
        <v>26</v>
      </c>
      <c r="AH8" s="4" t="s">
        <v>113</v>
      </c>
      <c r="AI8" s="4" t="s">
        <v>114</v>
      </c>
      <c r="AJ8" s="4" t="s">
        <v>115</v>
      </c>
      <c r="AK8" s="4">
        <v>471.07125744092502</v>
      </c>
      <c r="AM8" s="4" t="s">
        <v>116</v>
      </c>
      <c r="AN8" s="4">
        <v>2</v>
      </c>
      <c r="AO8" s="4">
        <v>2</v>
      </c>
      <c r="AP8" s="26">
        <v>47</v>
      </c>
    </row>
    <row r="9" spans="1:45" s="4" customFormat="1" ht="15" customHeight="1" x14ac:dyDescent="0.3">
      <c r="A9" s="4" t="s">
        <v>152</v>
      </c>
      <c r="B9" s="4">
        <v>1</v>
      </c>
      <c r="C9" s="4" t="s">
        <v>82</v>
      </c>
      <c r="F9" s="4" t="s">
        <v>60</v>
      </c>
      <c r="G9" s="4" t="s">
        <v>103</v>
      </c>
      <c r="H9" s="4" t="s">
        <v>60</v>
      </c>
      <c r="J9" s="4">
        <v>2023</v>
      </c>
      <c r="K9" s="4" t="s">
        <v>104</v>
      </c>
      <c r="L9" s="4" t="s">
        <v>105</v>
      </c>
      <c r="M9" s="25">
        <v>1583421</v>
      </c>
      <c r="N9" s="4" t="s">
        <v>64</v>
      </c>
      <c r="O9" s="4" t="s">
        <v>65</v>
      </c>
      <c r="P9" s="4">
        <v>1</v>
      </c>
      <c r="Q9" s="4" t="s">
        <v>66</v>
      </c>
      <c r="R9" s="4" t="s">
        <v>106</v>
      </c>
      <c r="S9" s="4" t="s">
        <v>107</v>
      </c>
      <c r="T9" s="4" t="s">
        <v>108</v>
      </c>
      <c r="U9" s="4" t="s">
        <v>69</v>
      </c>
      <c r="V9" s="4" t="s">
        <v>108</v>
      </c>
      <c r="W9" s="4" t="s">
        <v>109</v>
      </c>
      <c r="X9" s="4" t="s">
        <v>72</v>
      </c>
      <c r="Y9" s="4" t="s">
        <v>73</v>
      </c>
      <c r="Z9" s="4" t="s">
        <v>110</v>
      </c>
      <c r="AA9" s="4">
        <v>17.618707181469951</v>
      </c>
      <c r="AB9" s="4" t="s">
        <v>111</v>
      </c>
      <c r="AC9" s="4" t="s">
        <v>112</v>
      </c>
      <c r="AD9" s="4">
        <v>20</v>
      </c>
      <c r="AH9" s="4" t="s">
        <v>73</v>
      </c>
      <c r="AI9" s="4" t="s">
        <v>74</v>
      </c>
      <c r="AJ9" s="4" t="s">
        <v>117</v>
      </c>
      <c r="AK9" s="4">
        <v>5.4675291723273898E-3</v>
      </c>
      <c r="AM9" s="4" t="s">
        <v>116</v>
      </c>
      <c r="AN9" s="4">
        <v>2</v>
      </c>
      <c r="AO9" s="4">
        <v>2</v>
      </c>
      <c r="AP9" s="26">
        <v>7</v>
      </c>
    </row>
    <row r="10" spans="1:45" s="4" customFormat="1" ht="15" customHeight="1" x14ac:dyDescent="0.3">
      <c r="A10" s="4" t="s">
        <v>152</v>
      </c>
      <c r="B10" s="4">
        <v>1</v>
      </c>
      <c r="C10" s="4" t="s">
        <v>82</v>
      </c>
      <c r="F10" s="4" t="s">
        <v>60</v>
      </c>
      <c r="G10" s="4" t="s">
        <v>103</v>
      </c>
      <c r="H10" s="4" t="s">
        <v>60</v>
      </c>
      <c r="J10" s="4">
        <v>2023</v>
      </c>
      <c r="K10" s="4" t="s">
        <v>104</v>
      </c>
      <c r="L10" s="4" t="s">
        <v>105</v>
      </c>
      <c r="M10" s="25">
        <v>1583421</v>
      </c>
      <c r="N10" s="4" t="s">
        <v>64</v>
      </c>
      <c r="O10" s="4" t="s">
        <v>65</v>
      </c>
      <c r="P10" s="4">
        <v>1</v>
      </c>
      <c r="Q10" s="4" t="s">
        <v>66</v>
      </c>
      <c r="R10" s="4" t="s">
        <v>106</v>
      </c>
      <c r="S10" s="4" t="s">
        <v>107</v>
      </c>
      <c r="T10" s="4" t="s">
        <v>108</v>
      </c>
      <c r="U10" s="4" t="s">
        <v>69</v>
      </c>
      <c r="V10" s="4" t="s">
        <v>108</v>
      </c>
      <c r="W10" s="4" t="s">
        <v>109</v>
      </c>
      <c r="X10" s="4" t="s">
        <v>72</v>
      </c>
      <c r="Y10" s="4" t="s">
        <v>73</v>
      </c>
      <c r="Z10" s="4" t="s">
        <v>110</v>
      </c>
      <c r="AA10" s="4">
        <v>17.618707181469951</v>
      </c>
      <c r="AB10" s="4" t="s">
        <v>111</v>
      </c>
      <c r="AC10" s="4" t="s">
        <v>112</v>
      </c>
      <c r="AD10" s="4">
        <v>21</v>
      </c>
      <c r="AH10" s="4" t="s">
        <v>73</v>
      </c>
      <c r="AI10" s="4" t="s">
        <v>74</v>
      </c>
      <c r="AJ10" s="4" t="s">
        <v>117</v>
      </c>
      <c r="AK10" s="4">
        <v>6.1144567118773E-3</v>
      </c>
      <c r="AM10" s="4" t="s">
        <v>116</v>
      </c>
      <c r="AN10" s="4">
        <v>2</v>
      </c>
      <c r="AO10" s="4">
        <v>2</v>
      </c>
      <c r="AP10" s="26">
        <v>10</v>
      </c>
    </row>
    <row r="11" spans="1:45" s="4" customFormat="1" ht="15" customHeight="1" x14ac:dyDescent="0.3">
      <c r="A11" s="4" t="s">
        <v>152</v>
      </c>
      <c r="B11" s="4">
        <v>1</v>
      </c>
      <c r="C11" s="4" t="s">
        <v>82</v>
      </c>
      <c r="F11" s="4" t="s">
        <v>60</v>
      </c>
      <c r="G11" s="4" t="s">
        <v>103</v>
      </c>
      <c r="H11" s="4" t="s">
        <v>60</v>
      </c>
      <c r="J11" s="4">
        <v>2023</v>
      </c>
      <c r="K11" s="4" t="s">
        <v>104</v>
      </c>
      <c r="L11" s="4" t="s">
        <v>105</v>
      </c>
      <c r="M11" s="25">
        <v>1583421</v>
      </c>
      <c r="N11" s="4" t="s">
        <v>64</v>
      </c>
      <c r="O11" s="4" t="s">
        <v>65</v>
      </c>
      <c r="P11" s="4">
        <v>1</v>
      </c>
      <c r="Q11" s="4" t="s">
        <v>66</v>
      </c>
      <c r="R11" s="4" t="s">
        <v>106</v>
      </c>
      <c r="S11" s="4" t="s">
        <v>107</v>
      </c>
      <c r="T11" s="4" t="s">
        <v>108</v>
      </c>
      <c r="U11" s="4" t="s">
        <v>69</v>
      </c>
      <c r="V11" s="4" t="s">
        <v>108</v>
      </c>
      <c r="W11" s="4" t="s">
        <v>109</v>
      </c>
      <c r="X11" s="4" t="s">
        <v>72</v>
      </c>
      <c r="Y11" s="4" t="s">
        <v>73</v>
      </c>
      <c r="Z11" s="4" t="s">
        <v>110</v>
      </c>
      <c r="AA11" s="4">
        <v>17.618707181469951</v>
      </c>
      <c r="AB11" s="4" t="s">
        <v>111</v>
      </c>
      <c r="AC11" s="4" t="s">
        <v>112</v>
      </c>
      <c r="AD11" s="4">
        <v>22</v>
      </c>
      <c r="AH11" s="4" t="s">
        <v>73</v>
      </c>
      <c r="AI11" s="4" t="s">
        <v>74</v>
      </c>
      <c r="AJ11" s="4" t="s">
        <v>117</v>
      </c>
      <c r="AK11" s="4">
        <v>6.9160162542765101E-3</v>
      </c>
      <c r="AM11" s="4" t="s">
        <v>116</v>
      </c>
      <c r="AN11" s="4">
        <v>2</v>
      </c>
      <c r="AO11" s="4">
        <v>2</v>
      </c>
      <c r="AP11" s="26">
        <v>3</v>
      </c>
    </row>
    <row r="12" spans="1:45" s="4" customFormat="1" ht="15" customHeight="1" x14ac:dyDescent="0.3">
      <c r="A12" s="4" t="s">
        <v>152</v>
      </c>
      <c r="B12" s="4">
        <v>1</v>
      </c>
      <c r="C12" s="4" t="s">
        <v>82</v>
      </c>
      <c r="F12" s="4" t="s">
        <v>60</v>
      </c>
      <c r="G12" s="4" t="s">
        <v>103</v>
      </c>
      <c r="H12" s="4" t="s">
        <v>60</v>
      </c>
      <c r="J12" s="4">
        <v>2023</v>
      </c>
      <c r="K12" s="4" t="s">
        <v>104</v>
      </c>
      <c r="L12" s="4" t="s">
        <v>105</v>
      </c>
      <c r="M12" s="25">
        <v>1583421</v>
      </c>
      <c r="N12" s="4" t="s">
        <v>64</v>
      </c>
      <c r="O12" s="4" t="s">
        <v>65</v>
      </c>
      <c r="P12" s="4">
        <v>1</v>
      </c>
      <c r="Q12" s="4" t="s">
        <v>66</v>
      </c>
      <c r="R12" s="4" t="s">
        <v>106</v>
      </c>
      <c r="S12" s="4" t="s">
        <v>107</v>
      </c>
      <c r="T12" s="4" t="s">
        <v>108</v>
      </c>
      <c r="U12" s="4" t="s">
        <v>69</v>
      </c>
      <c r="V12" s="4" t="s">
        <v>108</v>
      </c>
      <c r="W12" s="4" t="s">
        <v>109</v>
      </c>
      <c r="X12" s="4" t="s">
        <v>72</v>
      </c>
      <c r="Y12" s="4" t="s">
        <v>73</v>
      </c>
      <c r="Z12" s="4" t="s">
        <v>110</v>
      </c>
      <c r="AA12" s="4">
        <v>17.618707181469951</v>
      </c>
      <c r="AB12" s="4" t="s">
        <v>111</v>
      </c>
      <c r="AC12" s="4" t="s">
        <v>112</v>
      </c>
      <c r="AD12" s="4">
        <v>23</v>
      </c>
      <c r="AH12" s="4" t="s">
        <v>73</v>
      </c>
      <c r="AI12" s="4" t="s">
        <v>74</v>
      </c>
      <c r="AJ12" s="4" t="s">
        <v>117</v>
      </c>
      <c r="AK12" s="4">
        <v>7.9270867728723996E-3</v>
      </c>
      <c r="AM12" s="4" t="s">
        <v>116</v>
      </c>
      <c r="AN12" s="4">
        <v>2</v>
      </c>
      <c r="AO12" s="4">
        <v>2</v>
      </c>
      <c r="AP12" s="26">
        <v>29</v>
      </c>
    </row>
    <row r="13" spans="1:45" s="4" customFormat="1" ht="15" customHeight="1" x14ac:dyDescent="0.3">
      <c r="A13" s="4" t="s">
        <v>152</v>
      </c>
      <c r="B13" s="4">
        <v>1</v>
      </c>
      <c r="C13" s="4" t="s">
        <v>82</v>
      </c>
      <c r="F13" s="4" t="s">
        <v>60</v>
      </c>
      <c r="G13" s="4" t="s">
        <v>103</v>
      </c>
      <c r="H13" s="4" t="s">
        <v>60</v>
      </c>
      <c r="J13" s="4">
        <v>2023</v>
      </c>
      <c r="K13" s="4" t="s">
        <v>104</v>
      </c>
      <c r="L13" s="4" t="s">
        <v>105</v>
      </c>
      <c r="M13" s="25">
        <v>1583421</v>
      </c>
      <c r="N13" s="4" t="s">
        <v>64</v>
      </c>
      <c r="O13" s="4" t="s">
        <v>65</v>
      </c>
      <c r="P13" s="4">
        <v>1</v>
      </c>
      <c r="Q13" s="4" t="s">
        <v>66</v>
      </c>
      <c r="R13" s="4" t="s">
        <v>106</v>
      </c>
      <c r="S13" s="4" t="s">
        <v>107</v>
      </c>
      <c r="T13" s="4" t="s">
        <v>108</v>
      </c>
      <c r="U13" s="4" t="s">
        <v>69</v>
      </c>
      <c r="V13" s="4" t="s">
        <v>108</v>
      </c>
      <c r="W13" s="4" t="s">
        <v>109</v>
      </c>
      <c r="X13" s="4" t="s">
        <v>72</v>
      </c>
      <c r="Y13" s="4" t="s">
        <v>73</v>
      </c>
      <c r="Z13" s="4" t="s">
        <v>110</v>
      </c>
      <c r="AA13" s="4">
        <v>17.618707181469951</v>
      </c>
      <c r="AB13" s="4" t="s">
        <v>111</v>
      </c>
      <c r="AC13" s="4" t="s">
        <v>112</v>
      </c>
      <c r="AD13" s="4">
        <v>24</v>
      </c>
      <c r="AH13" s="4" t="s">
        <v>73</v>
      </c>
      <c r="AI13" s="4" t="s">
        <v>74</v>
      </c>
      <c r="AJ13" s="4" t="s">
        <v>117</v>
      </c>
      <c r="AK13" s="4">
        <v>8.8453217608713899E-3</v>
      </c>
      <c r="AM13" s="4" t="s">
        <v>116</v>
      </c>
      <c r="AN13" s="4">
        <v>2</v>
      </c>
      <c r="AO13" s="4">
        <v>2</v>
      </c>
      <c r="AP13" s="26">
        <v>44</v>
      </c>
    </row>
    <row r="14" spans="1:45" s="4" customFormat="1" ht="15" customHeight="1" x14ac:dyDescent="0.3">
      <c r="A14" s="4" t="s">
        <v>152</v>
      </c>
      <c r="B14" s="4">
        <v>1</v>
      </c>
      <c r="C14" s="4" t="s">
        <v>82</v>
      </c>
      <c r="F14" s="4" t="s">
        <v>60</v>
      </c>
      <c r="G14" s="4" t="s">
        <v>103</v>
      </c>
      <c r="H14" s="4" t="s">
        <v>60</v>
      </c>
      <c r="J14" s="4">
        <v>2023</v>
      </c>
      <c r="K14" s="4" t="s">
        <v>104</v>
      </c>
      <c r="L14" s="4" t="s">
        <v>105</v>
      </c>
      <c r="M14" s="25">
        <v>1583421</v>
      </c>
      <c r="N14" s="4" t="s">
        <v>64</v>
      </c>
      <c r="O14" s="4" t="s">
        <v>65</v>
      </c>
      <c r="P14" s="4">
        <v>1</v>
      </c>
      <c r="Q14" s="4" t="s">
        <v>66</v>
      </c>
      <c r="R14" s="4" t="s">
        <v>106</v>
      </c>
      <c r="S14" s="4" t="s">
        <v>107</v>
      </c>
      <c r="T14" s="4" t="s">
        <v>108</v>
      </c>
      <c r="U14" s="4" t="s">
        <v>69</v>
      </c>
      <c r="V14" s="4" t="s">
        <v>108</v>
      </c>
      <c r="W14" s="4" t="s">
        <v>109</v>
      </c>
      <c r="X14" s="4" t="s">
        <v>72</v>
      </c>
      <c r="Y14" s="4" t="s">
        <v>73</v>
      </c>
      <c r="Z14" s="4" t="s">
        <v>110</v>
      </c>
      <c r="AA14" s="4">
        <v>17.618707181469951</v>
      </c>
      <c r="AB14" s="4" t="s">
        <v>111</v>
      </c>
      <c r="AC14" s="4" t="s">
        <v>112</v>
      </c>
      <c r="AD14" s="4">
        <v>25</v>
      </c>
      <c r="AH14" s="4" t="s">
        <v>73</v>
      </c>
      <c r="AI14" s="4" t="s">
        <v>74</v>
      </c>
      <c r="AJ14" s="4" t="s">
        <v>117</v>
      </c>
      <c r="AK14" s="4">
        <v>1.0010946123341E-2</v>
      </c>
      <c r="AM14" s="4" t="s">
        <v>116</v>
      </c>
      <c r="AN14" s="4">
        <v>2</v>
      </c>
      <c r="AO14" s="4">
        <v>2</v>
      </c>
      <c r="AP14" s="26">
        <v>50</v>
      </c>
    </row>
    <row r="15" spans="1:45" s="4" customFormat="1" ht="15" customHeight="1" x14ac:dyDescent="0.3">
      <c r="A15" s="4" t="s">
        <v>152</v>
      </c>
      <c r="B15" s="4">
        <v>1</v>
      </c>
      <c r="C15" s="4" t="s">
        <v>82</v>
      </c>
      <c r="F15" s="4" t="s">
        <v>60</v>
      </c>
      <c r="G15" s="4" t="s">
        <v>103</v>
      </c>
      <c r="H15" s="4" t="s">
        <v>60</v>
      </c>
      <c r="J15" s="4">
        <v>2023</v>
      </c>
      <c r="K15" s="4" t="s">
        <v>104</v>
      </c>
      <c r="L15" s="4" t="s">
        <v>105</v>
      </c>
      <c r="M15" s="25">
        <v>1583421</v>
      </c>
      <c r="N15" s="4" t="s">
        <v>64</v>
      </c>
      <c r="O15" s="4" t="s">
        <v>65</v>
      </c>
      <c r="P15" s="4">
        <v>1</v>
      </c>
      <c r="Q15" s="4" t="s">
        <v>66</v>
      </c>
      <c r="R15" s="4" t="s">
        <v>106</v>
      </c>
      <c r="S15" s="4" t="s">
        <v>107</v>
      </c>
      <c r="T15" s="4" t="s">
        <v>108</v>
      </c>
      <c r="U15" s="4" t="s">
        <v>69</v>
      </c>
      <c r="V15" s="4" t="s">
        <v>108</v>
      </c>
      <c r="W15" s="4" t="s">
        <v>109</v>
      </c>
      <c r="X15" s="4" t="s">
        <v>72</v>
      </c>
      <c r="Y15" s="4" t="s">
        <v>73</v>
      </c>
      <c r="Z15" s="4" t="s">
        <v>110</v>
      </c>
      <c r="AA15" s="4">
        <v>17.618707181469951</v>
      </c>
      <c r="AB15" s="4" t="s">
        <v>111</v>
      </c>
      <c r="AC15" s="4" t="s">
        <v>112</v>
      </c>
      <c r="AD15" s="4">
        <v>26</v>
      </c>
      <c r="AH15" s="4" t="s">
        <v>73</v>
      </c>
      <c r="AI15" s="4" t="s">
        <v>74</v>
      </c>
      <c r="AJ15" s="4" t="s">
        <v>117</v>
      </c>
      <c r="AK15" s="4">
        <v>1.1148235171078699E-2</v>
      </c>
      <c r="AM15" s="4" t="s">
        <v>116</v>
      </c>
      <c r="AN15" s="4">
        <v>2</v>
      </c>
      <c r="AO15" s="4">
        <v>2</v>
      </c>
      <c r="AP15" s="26">
        <v>47</v>
      </c>
    </row>
    <row r="16" spans="1:45" s="4" customFormat="1" ht="15" customHeight="1" x14ac:dyDescent="0.3">
      <c r="A16" s="4" t="s">
        <v>152</v>
      </c>
      <c r="B16" s="4">
        <v>1</v>
      </c>
      <c r="C16" s="4" t="s">
        <v>82</v>
      </c>
      <c r="F16" s="4" t="s">
        <v>60</v>
      </c>
      <c r="G16" s="4" t="s">
        <v>103</v>
      </c>
      <c r="H16" s="4" t="s">
        <v>60</v>
      </c>
      <c r="J16" s="4">
        <v>2023</v>
      </c>
      <c r="K16" s="4" t="s">
        <v>104</v>
      </c>
      <c r="L16" s="4" t="s">
        <v>105</v>
      </c>
      <c r="M16" s="25">
        <v>1583421</v>
      </c>
      <c r="N16" s="4" t="s">
        <v>64</v>
      </c>
      <c r="O16" s="4" t="s">
        <v>65</v>
      </c>
      <c r="P16" s="4">
        <v>3</v>
      </c>
      <c r="Q16" s="4" t="s">
        <v>66</v>
      </c>
      <c r="R16" s="4" t="s">
        <v>106</v>
      </c>
      <c r="S16" s="4" t="s">
        <v>107</v>
      </c>
      <c r="T16" s="4" t="s">
        <v>108</v>
      </c>
      <c r="U16" s="4" t="s">
        <v>69</v>
      </c>
      <c r="V16" s="4" t="s">
        <v>108</v>
      </c>
      <c r="W16" s="4" t="s">
        <v>118</v>
      </c>
      <c r="X16" s="4" t="s">
        <v>72</v>
      </c>
      <c r="Y16" s="4" t="s">
        <v>73</v>
      </c>
      <c r="Z16" s="4" t="s">
        <v>110</v>
      </c>
      <c r="AA16" s="4">
        <f>SUMPRODUCT(AK16:AK25,AK26:AK35)</f>
        <v>22.54545263085004</v>
      </c>
      <c r="AB16" s="4" t="s">
        <v>111</v>
      </c>
      <c r="AC16" s="4" t="s">
        <v>112</v>
      </c>
      <c r="AD16" s="4">
        <v>17</v>
      </c>
      <c r="AH16" s="4" t="s">
        <v>113</v>
      </c>
      <c r="AI16" s="4" t="s">
        <v>114</v>
      </c>
      <c r="AJ16" s="4" t="s">
        <v>115</v>
      </c>
      <c r="AK16" s="4">
        <v>66.419291612678506</v>
      </c>
      <c r="AM16" s="4" t="s">
        <v>116</v>
      </c>
      <c r="AN16" s="4">
        <v>2</v>
      </c>
      <c r="AO16" s="4">
        <v>2</v>
      </c>
      <c r="AP16" s="26">
        <v>7</v>
      </c>
    </row>
    <row r="17" spans="1:42" s="4" customFormat="1" ht="15" customHeight="1" x14ac:dyDescent="0.3">
      <c r="A17" s="4" t="s">
        <v>152</v>
      </c>
      <c r="B17" s="4">
        <v>1</v>
      </c>
      <c r="C17" s="4" t="s">
        <v>82</v>
      </c>
      <c r="F17" s="4" t="s">
        <v>60</v>
      </c>
      <c r="G17" s="4" t="s">
        <v>103</v>
      </c>
      <c r="H17" s="4" t="s">
        <v>60</v>
      </c>
      <c r="J17" s="4">
        <v>2023</v>
      </c>
      <c r="K17" s="4" t="s">
        <v>104</v>
      </c>
      <c r="L17" s="4" t="s">
        <v>105</v>
      </c>
      <c r="M17" s="25">
        <v>1583421</v>
      </c>
      <c r="N17" s="4" t="s">
        <v>64</v>
      </c>
      <c r="O17" s="4" t="s">
        <v>65</v>
      </c>
      <c r="P17" s="4">
        <v>3</v>
      </c>
      <c r="Q17" s="4" t="s">
        <v>66</v>
      </c>
      <c r="R17" s="4" t="s">
        <v>106</v>
      </c>
      <c r="S17" s="4" t="s">
        <v>107</v>
      </c>
      <c r="T17" s="4" t="s">
        <v>108</v>
      </c>
      <c r="U17" s="4" t="s">
        <v>69</v>
      </c>
      <c r="V17" s="4" t="s">
        <v>108</v>
      </c>
      <c r="W17" s="4" t="s">
        <v>118</v>
      </c>
      <c r="X17" s="4" t="s">
        <v>72</v>
      </c>
      <c r="Y17" s="4" t="s">
        <v>73</v>
      </c>
      <c r="Z17" s="4" t="s">
        <v>110</v>
      </c>
      <c r="AA17" s="4">
        <v>22.54545263085004</v>
      </c>
      <c r="AB17" s="4" t="s">
        <v>111</v>
      </c>
      <c r="AC17" s="4" t="s">
        <v>112</v>
      </c>
      <c r="AD17" s="4">
        <v>18</v>
      </c>
      <c r="AH17" s="4" t="s">
        <v>113</v>
      </c>
      <c r="AI17" s="4" t="s">
        <v>114</v>
      </c>
      <c r="AJ17" s="4" t="s">
        <v>115</v>
      </c>
      <c r="AK17" s="4">
        <v>97.061159346958206</v>
      </c>
      <c r="AM17" s="4" t="s">
        <v>116</v>
      </c>
      <c r="AN17" s="4">
        <v>2</v>
      </c>
      <c r="AO17" s="4">
        <v>2</v>
      </c>
      <c r="AP17" s="26">
        <v>10</v>
      </c>
    </row>
    <row r="18" spans="1:42" s="4" customFormat="1" ht="15" customHeight="1" x14ac:dyDescent="0.3">
      <c r="A18" s="4" t="s">
        <v>152</v>
      </c>
      <c r="B18" s="4">
        <v>1</v>
      </c>
      <c r="C18" s="4" t="s">
        <v>82</v>
      </c>
      <c r="F18" s="4" t="s">
        <v>60</v>
      </c>
      <c r="G18" s="4" t="s">
        <v>103</v>
      </c>
      <c r="H18" s="4" t="s">
        <v>60</v>
      </c>
      <c r="J18" s="4">
        <v>2023</v>
      </c>
      <c r="K18" s="4" t="s">
        <v>104</v>
      </c>
      <c r="L18" s="4" t="s">
        <v>105</v>
      </c>
      <c r="M18" s="25">
        <v>1583421</v>
      </c>
      <c r="N18" s="4" t="s">
        <v>64</v>
      </c>
      <c r="O18" s="4" t="s">
        <v>65</v>
      </c>
      <c r="P18" s="4">
        <v>3</v>
      </c>
      <c r="Q18" s="4" t="s">
        <v>66</v>
      </c>
      <c r="R18" s="4" t="s">
        <v>106</v>
      </c>
      <c r="S18" s="4" t="s">
        <v>107</v>
      </c>
      <c r="T18" s="4" t="s">
        <v>108</v>
      </c>
      <c r="U18" s="4" t="s">
        <v>69</v>
      </c>
      <c r="V18" s="4" t="s">
        <v>108</v>
      </c>
      <c r="W18" s="4" t="s">
        <v>118</v>
      </c>
      <c r="X18" s="4" t="s">
        <v>72</v>
      </c>
      <c r="Y18" s="4" t="s">
        <v>73</v>
      </c>
      <c r="Z18" s="4" t="s">
        <v>110</v>
      </c>
      <c r="AA18" s="4">
        <v>22.54545263085004</v>
      </c>
      <c r="AB18" s="4" t="s">
        <v>111</v>
      </c>
      <c r="AC18" s="4" t="s">
        <v>112</v>
      </c>
      <c r="AD18" s="4">
        <v>19</v>
      </c>
      <c r="AH18" s="4" t="s">
        <v>113</v>
      </c>
      <c r="AI18" s="4" t="s">
        <v>114</v>
      </c>
      <c r="AJ18" s="4" t="s">
        <v>115</v>
      </c>
      <c r="AK18" s="4">
        <v>31.109037281028701</v>
      </c>
      <c r="AM18" s="4" t="s">
        <v>116</v>
      </c>
      <c r="AN18" s="4">
        <v>2</v>
      </c>
      <c r="AO18" s="4">
        <v>2</v>
      </c>
      <c r="AP18" s="26">
        <v>3</v>
      </c>
    </row>
    <row r="19" spans="1:42" s="4" customFormat="1" ht="15" customHeight="1" x14ac:dyDescent="0.3">
      <c r="A19" s="4" t="s">
        <v>152</v>
      </c>
      <c r="B19" s="4">
        <v>1</v>
      </c>
      <c r="C19" s="4" t="s">
        <v>82</v>
      </c>
      <c r="F19" s="4" t="s">
        <v>60</v>
      </c>
      <c r="G19" s="4" t="s">
        <v>103</v>
      </c>
      <c r="H19" s="4" t="s">
        <v>60</v>
      </c>
      <c r="J19" s="4">
        <v>2023</v>
      </c>
      <c r="K19" s="4" t="s">
        <v>104</v>
      </c>
      <c r="L19" s="4" t="s">
        <v>105</v>
      </c>
      <c r="M19" s="25">
        <v>1583421</v>
      </c>
      <c r="N19" s="4" t="s">
        <v>64</v>
      </c>
      <c r="O19" s="4" t="s">
        <v>65</v>
      </c>
      <c r="P19" s="4">
        <v>3</v>
      </c>
      <c r="Q19" s="4" t="s">
        <v>66</v>
      </c>
      <c r="R19" s="4" t="s">
        <v>106</v>
      </c>
      <c r="S19" s="4" t="s">
        <v>107</v>
      </c>
      <c r="T19" s="4" t="s">
        <v>108</v>
      </c>
      <c r="U19" s="4" t="s">
        <v>69</v>
      </c>
      <c r="V19" s="4" t="s">
        <v>108</v>
      </c>
      <c r="W19" s="4" t="s">
        <v>118</v>
      </c>
      <c r="X19" s="4" t="s">
        <v>72</v>
      </c>
      <c r="Y19" s="4" t="s">
        <v>73</v>
      </c>
      <c r="Z19" s="4" t="s">
        <v>110</v>
      </c>
      <c r="AA19" s="4">
        <v>22.54545263085004</v>
      </c>
      <c r="AB19" s="4" t="s">
        <v>111</v>
      </c>
      <c r="AC19" s="4" t="s">
        <v>112</v>
      </c>
      <c r="AD19" s="4">
        <v>20</v>
      </c>
      <c r="AH19" s="4" t="s">
        <v>113</v>
      </c>
      <c r="AI19" s="4" t="s">
        <v>114</v>
      </c>
      <c r="AJ19" s="4" t="s">
        <v>115</v>
      </c>
      <c r="AK19" s="4">
        <v>294.43272416422002</v>
      </c>
      <c r="AM19" s="4" t="s">
        <v>116</v>
      </c>
      <c r="AN19" s="4">
        <v>2</v>
      </c>
      <c r="AO19" s="4">
        <v>2</v>
      </c>
      <c r="AP19" s="26">
        <v>29</v>
      </c>
    </row>
    <row r="20" spans="1:42" s="4" customFormat="1" ht="15" customHeight="1" x14ac:dyDescent="0.3">
      <c r="A20" s="4" t="s">
        <v>152</v>
      </c>
      <c r="B20" s="4">
        <v>1</v>
      </c>
      <c r="C20" s="4" t="s">
        <v>82</v>
      </c>
      <c r="F20" s="4" t="s">
        <v>60</v>
      </c>
      <c r="G20" s="4" t="s">
        <v>103</v>
      </c>
      <c r="H20" s="4" t="s">
        <v>60</v>
      </c>
      <c r="J20" s="4">
        <v>2023</v>
      </c>
      <c r="K20" s="4" t="s">
        <v>104</v>
      </c>
      <c r="L20" s="4" t="s">
        <v>105</v>
      </c>
      <c r="M20" s="25">
        <v>1583421</v>
      </c>
      <c r="N20" s="4" t="s">
        <v>64</v>
      </c>
      <c r="O20" s="4" t="s">
        <v>65</v>
      </c>
      <c r="P20" s="4">
        <v>3</v>
      </c>
      <c r="Q20" s="4" t="s">
        <v>66</v>
      </c>
      <c r="R20" s="4" t="s">
        <v>106</v>
      </c>
      <c r="S20" s="4" t="s">
        <v>107</v>
      </c>
      <c r="T20" s="4" t="s">
        <v>108</v>
      </c>
      <c r="U20" s="4" t="s">
        <v>69</v>
      </c>
      <c r="V20" s="4" t="s">
        <v>108</v>
      </c>
      <c r="W20" s="4" t="s">
        <v>118</v>
      </c>
      <c r="X20" s="4" t="s">
        <v>72</v>
      </c>
      <c r="Y20" s="4" t="s">
        <v>73</v>
      </c>
      <c r="Z20" s="4" t="s">
        <v>110</v>
      </c>
      <c r="AA20" s="4">
        <v>22.54545263085004</v>
      </c>
      <c r="AB20" s="4" t="s">
        <v>111</v>
      </c>
      <c r="AC20" s="4" t="s">
        <v>112</v>
      </c>
      <c r="AD20" s="4">
        <v>21</v>
      </c>
      <c r="AH20" s="4" t="s">
        <v>113</v>
      </c>
      <c r="AI20" s="4" t="s">
        <v>114</v>
      </c>
      <c r="AJ20" s="4" t="s">
        <v>115</v>
      </c>
      <c r="AK20" s="4">
        <v>437.30124909118098</v>
      </c>
      <c r="AM20" s="4" t="s">
        <v>116</v>
      </c>
      <c r="AN20" s="4">
        <v>2</v>
      </c>
      <c r="AO20" s="4">
        <v>2</v>
      </c>
      <c r="AP20" s="26">
        <v>44</v>
      </c>
    </row>
    <row r="21" spans="1:42" s="4" customFormat="1" ht="15" customHeight="1" x14ac:dyDescent="0.3">
      <c r="A21" s="4" t="s">
        <v>152</v>
      </c>
      <c r="B21" s="4">
        <v>1</v>
      </c>
      <c r="C21" s="4" t="s">
        <v>82</v>
      </c>
      <c r="F21" s="4" t="s">
        <v>60</v>
      </c>
      <c r="G21" s="4" t="s">
        <v>103</v>
      </c>
      <c r="H21" s="4" t="s">
        <v>60</v>
      </c>
      <c r="J21" s="4">
        <v>2023</v>
      </c>
      <c r="K21" s="4" t="s">
        <v>104</v>
      </c>
      <c r="L21" s="4" t="s">
        <v>105</v>
      </c>
      <c r="M21" s="25">
        <v>1583421</v>
      </c>
      <c r="N21" s="4" t="s">
        <v>64</v>
      </c>
      <c r="O21" s="4" t="s">
        <v>65</v>
      </c>
      <c r="P21" s="4">
        <v>3</v>
      </c>
      <c r="Q21" s="4" t="s">
        <v>66</v>
      </c>
      <c r="R21" s="4" t="s">
        <v>106</v>
      </c>
      <c r="S21" s="4" t="s">
        <v>107</v>
      </c>
      <c r="T21" s="4" t="s">
        <v>108</v>
      </c>
      <c r="U21" s="4" t="s">
        <v>69</v>
      </c>
      <c r="V21" s="4" t="s">
        <v>108</v>
      </c>
      <c r="W21" s="4" t="s">
        <v>118</v>
      </c>
      <c r="X21" s="4" t="s">
        <v>72</v>
      </c>
      <c r="Y21" s="4" t="s">
        <v>73</v>
      </c>
      <c r="Z21" s="4" t="s">
        <v>110</v>
      </c>
      <c r="AA21" s="4">
        <v>22.54545263085004</v>
      </c>
      <c r="AB21" s="4" t="s">
        <v>111</v>
      </c>
      <c r="AC21" s="4" t="s">
        <v>112</v>
      </c>
      <c r="AD21" s="4">
        <v>22</v>
      </c>
      <c r="AH21" s="4" t="s">
        <v>113</v>
      </c>
      <c r="AI21" s="4" t="s">
        <v>114</v>
      </c>
      <c r="AJ21" s="4" t="s">
        <v>115</v>
      </c>
      <c r="AK21" s="4">
        <v>498.77940332288699</v>
      </c>
      <c r="AM21" s="4" t="s">
        <v>116</v>
      </c>
      <c r="AN21" s="4">
        <v>2</v>
      </c>
      <c r="AO21" s="4">
        <v>2</v>
      </c>
      <c r="AP21" s="26">
        <v>50</v>
      </c>
    </row>
    <row r="22" spans="1:42" s="4" customFormat="1" ht="15" customHeight="1" x14ac:dyDescent="0.3">
      <c r="A22" s="4" t="s">
        <v>152</v>
      </c>
      <c r="B22" s="4">
        <v>1</v>
      </c>
      <c r="C22" s="4" t="s">
        <v>82</v>
      </c>
      <c r="F22" s="4" t="s">
        <v>60</v>
      </c>
      <c r="G22" s="4" t="s">
        <v>103</v>
      </c>
      <c r="H22" s="4" t="s">
        <v>60</v>
      </c>
      <c r="J22" s="4">
        <v>2023</v>
      </c>
      <c r="K22" s="4" t="s">
        <v>104</v>
      </c>
      <c r="L22" s="4" t="s">
        <v>105</v>
      </c>
      <c r="M22" s="25">
        <v>1583421</v>
      </c>
      <c r="N22" s="4" t="s">
        <v>64</v>
      </c>
      <c r="O22" s="4" t="s">
        <v>65</v>
      </c>
      <c r="P22" s="4">
        <v>3</v>
      </c>
      <c r="Q22" s="4" t="s">
        <v>66</v>
      </c>
      <c r="R22" s="4" t="s">
        <v>106</v>
      </c>
      <c r="S22" s="4" t="s">
        <v>107</v>
      </c>
      <c r="T22" s="4" t="s">
        <v>108</v>
      </c>
      <c r="U22" s="4" t="s">
        <v>69</v>
      </c>
      <c r="V22" s="4" t="s">
        <v>108</v>
      </c>
      <c r="W22" s="4" t="s">
        <v>118</v>
      </c>
      <c r="X22" s="4" t="s">
        <v>72</v>
      </c>
      <c r="Y22" s="4" t="s">
        <v>73</v>
      </c>
      <c r="Z22" s="4" t="s">
        <v>110</v>
      </c>
      <c r="AA22" s="4">
        <v>22.54545263085004</v>
      </c>
      <c r="AB22" s="4" t="s">
        <v>111</v>
      </c>
      <c r="AC22" s="4" t="s">
        <v>112</v>
      </c>
      <c r="AD22" s="4">
        <v>23</v>
      </c>
      <c r="AH22" s="4" t="s">
        <v>113</v>
      </c>
      <c r="AI22" s="4" t="s">
        <v>114</v>
      </c>
      <c r="AJ22" s="4" t="s">
        <v>115</v>
      </c>
      <c r="AK22" s="4">
        <v>471.07125744092502</v>
      </c>
      <c r="AM22" s="4" t="s">
        <v>116</v>
      </c>
      <c r="AN22" s="4">
        <v>2</v>
      </c>
      <c r="AO22" s="4">
        <v>2</v>
      </c>
      <c r="AP22" s="26">
        <v>47</v>
      </c>
    </row>
    <row r="23" spans="1:42" s="4" customFormat="1" ht="15" customHeight="1" x14ac:dyDescent="0.3">
      <c r="A23" s="4" t="s">
        <v>152</v>
      </c>
      <c r="B23" s="4">
        <v>1</v>
      </c>
      <c r="C23" s="4" t="s">
        <v>82</v>
      </c>
      <c r="F23" s="4" t="s">
        <v>60</v>
      </c>
      <c r="G23" s="4" t="s">
        <v>103</v>
      </c>
      <c r="H23" s="4" t="s">
        <v>60</v>
      </c>
      <c r="J23" s="4">
        <v>2023</v>
      </c>
      <c r="K23" s="4" t="s">
        <v>104</v>
      </c>
      <c r="L23" s="4" t="s">
        <v>105</v>
      </c>
      <c r="M23" s="25">
        <v>1583421</v>
      </c>
      <c r="N23" s="4" t="s">
        <v>64</v>
      </c>
      <c r="O23" s="4" t="s">
        <v>65</v>
      </c>
      <c r="P23" s="4">
        <v>3</v>
      </c>
      <c r="Q23" s="4" t="s">
        <v>66</v>
      </c>
      <c r="R23" s="4" t="s">
        <v>106</v>
      </c>
      <c r="S23" s="4" t="s">
        <v>107</v>
      </c>
      <c r="T23" s="4" t="s">
        <v>108</v>
      </c>
      <c r="U23" s="4" t="s">
        <v>69</v>
      </c>
      <c r="V23" s="4" t="s">
        <v>108</v>
      </c>
      <c r="W23" s="4" t="s">
        <v>118</v>
      </c>
      <c r="X23" s="4" t="s">
        <v>72</v>
      </c>
      <c r="Y23" s="4" t="s">
        <v>73</v>
      </c>
      <c r="Z23" s="4" t="s">
        <v>110</v>
      </c>
      <c r="AA23" s="4">
        <v>22.54545263085004</v>
      </c>
      <c r="AB23" s="4" t="s">
        <v>111</v>
      </c>
      <c r="AC23" s="4" t="s">
        <v>112</v>
      </c>
      <c r="AD23" s="4">
        <v>24</v>
      </c>
      <c r="AH23" s="4" t="s">
        <v>113</v>
      </c>
      <c r="AI23" s="4" t="s">
        <v>114</v>
      </c>
      <c r="AJ23" s="4" t="s">
        <v>115</v>
      </c>
      <c r="AK23" s="4">
        <v>212.00673852789501</v>
      </c>
      <c r="AM23" s="4" t="s">
        <v>116</v>
      </c>
      <c r="AN23" s="4">
        <v>2</v>
      </c>
      <c r="AO23" s="4">
        <v>2</v>
      </c>
      <c r="AP23" s="26">
        <v>21</v>
      </c>
    </row>
    <row r="24" spans="1:42" s="4" customFormat="1" ht="15" customHeight="1" x14ac:dyDescent="0.3">
      <c r="A24" s="4" t="s">
        <v>152</v>
      </c>
      <c r="B24" s="4">
        <v>1</v>
      </c>
      <c r="C24" s="4" t="s">
        <v>82</v>
      </c>
      <c r="F24" s="4" t="s">
        <v>60</v>
      </c>
      <c r="G24" s="4" t="s">
        <v>103</v>
      </c>
      <c r="H24" s="4" t="s">
        <v>60</v>
      </c>
      <c r="J24" s="4">
        <v>2023</v>
      </c>
      <c r="K24" s="4" t="s">
        <v>104</v>
      </c>
      <c r="L24" s="4" t="s">
        <v>105</v>
      </c>
      <c r="M24" s="25">
        <v>1583421</v>
      </c>
      <c r="N24" s="4" t="s">
        <v>64</v>
      </c>
      <c r="O24" s="4" t="s">
        <v>65</v>
      </c>
      <c r="P24" s="4">
        <v>3</v>
      </c>
      <c r="Q24" s="4" t="s">
        <v>66</v>
      </c>
      <c r="R24" s="4" t="s">
        <v>106</v>
      </c>
      <c r="S24" s="4" t="s">
        <v>107</v>
      </c>
      <c r="T24" s="4" t="s">
        <v>108</v>
      </c>
      <c r="U24" s="4" t="s">
        <v>69</v>
      </c>
      <c r="V24" s="4" t="s">
        <v>108</v>
      </c>
      <c r="W24" s="4" t="s">
        <v>118</v>
      </c>
      <c r="X24" s="4" t="s">
        <v>72</v>
      </c>
      <c r="Y24" s="4" t="s">
        <v>73</v>
      </c>
      <c r="Z24" s="4" t="s">
        <v>110</v>
      </c>
      <c r="AA24" s="4">
        <v>22.54545263085004</v>
      </c>
      <c r="AB24" s="4" t="s">
        <v>111</v>
      </c>
      <c r="AC24" s="4" t="s">
        <v>112</v>
      </c>
      <c r="AD24" s="4">
        <v>25</v>
      </c>
      <c r="AH24" s="4" t="s">
        <v>113</v>
      </c>
      <c r="AI24" s="4" t="s">
        <v>114</v>
      </c>
      <c r="AJ24" s="4" t="s">
        <v>115</v>
      </c>
      <c r="AK24" s="4">
        <v>139.96306861344101</v>
      </c>
      <c r="AM24" s="4" t="s">
        <v>116</v>
      </c>
      <c r="AN24" s="4">
        <v>2</v>
      </c>
      <c r="AO24" s="4">
        <v>2</v>
      </c>
      <c r="AP24" s="26">
        <v>14</v>
      </c>
    </row>
    <row r="25" spans="1:42" s="4" customFormat="1" ht="15" customHeight="1" x14ac:dyDescent="0.3">
      <c r="A25" s="4" t="s">
        <v>152</v>
      </c>
      <c r="B25" s="4">
        <v>1</v>
      </c>
      <c r="C25" s="4" t="s">
        <v>82</v>
      </c>
      <c r="F25" s="4" t="s">
        <v>60</v>
      </c>
      <c r="G25" s="4" t="s">
        <v>103</v>
      </c>
      <c r="H25" s="4" t="s">
        <v>60</v>
      </c>
      <c r="J25" s="4">
        <v>2023</v>
      </c>
      <c r="K25" s="4" t="s">
        <v>104</v>
      </c>
      <c r="L25" s="4" t="s">
        <v>105</v>
      </c>
      <c r="M25" s="25">
        <v>1583421</v>
      </c>
      <c r="N25" s="4" t="s">
        <v>64</v>
      </c>
      <c r="O25" s="4" t="s">
        <v>65</v>
      </c>
      <c r="P25" s="4">
        <v>3</v>
      </c>
      <c r="Q25" s="4" t="s">
        <v>66</v>
      </c>
      <c r="R25" s="4" t="s">
        <v>106</v>
      </c>
      <c r="S25" s="4" t="s">
        <v>107</v>
      </c>
      <c r="T25" s="4" t="s">
        <v>108</v>
      </c>
      <c r="U25" s="4" t="s">
        <v>69</v>
      </c>
      <c r="V25" s="4" t="s">
        <v>108</v>
      </c>
      <c r="W25" s="4" t="s">
        <v>118</v>
      </c>
      <c r="X25" s="4" t="s">
        <v>72</v>
      </c>
      <c r="Y25" s="4" t="s">
        <v>73</v>
      </c>
      <c r="Z25" s="4" t="s">
        <v>110</v>
      </c>
      <c r="AA25" s="4">
        <v>22.54545263085004</v>
      </c>
      <c r="AB25" s="4" t="s">
        <v>111</v>
      </c>
      <c r="AC25" s="4" t="s">
        <v>112</v>
      </c>
      <c r="AD25" s="4">
        <v>26</v>
      </c>
      <c r="AH25" s="4" t="s">
        <v>113</v>
      </c>
      <c r="AI25" s="4" t="s">
        <v>114</v>
      </c>
      <c r="AJ25" s="4" t="s">
        <v>115</v>
      </c>
      <c r="AK25" s="4">
        <v>19.482257746469902</v>
      </c>
      <c r="AM25" s="4" t="s">
        <v>116</v>
      </c>
      <c r="AN25" s="4">
        <v>2</v>
      </c>
      <c r="AO25" s="4">
        <v>2</v>
      </c>
      <c r="AP25" s="26">
        <v>2</v>
      </c>
    </row>
    <row r="26" spans="1:42" s="4" customFormat="1" ht="15" customHeight="1" x14ac:dyDescent="0.3">
      <c r="A26" s="4" t="s">
        <v>152</v>
      </c>
      <c r="B26" s="4">
        <v>1</v>
      </c>
      <c r="C26" s="4" t="s">
        <v>82</v>
      </c>
      <c r="F26" s="4" t="s">
        <v>60</v>
      </c>
      <c r="G26" s="4" t="s">
        <v>103</v>
      </c>
      <c r="H26" s="4" t="s">
        <v>60</v>
      </c>
      <c r="J26" s="4">
        <v>2023</v>
      </c>
      <c r="K26" s="4" t="s">
        <v>104</v>
      </c>
      <c r="L26" s="4" t="s">
        <v>105</v>
      </c>
      <c r="M26" s="25">
        <v>1583421</v>
      </c>
      <c r="N26" s="4" t="s">
        <v>64</v>
      </c>
      <c r="O26" s="4" t="s">
        <v>65</v>
      </c>
      <c r="P26" s="4">
        <v>3</v>
      </c>
      <c r="Q26" s="4" t="s">
        <v>66</v>
      </c>
      <c r="R26" s="4" t="s">
        <v>106</v>
      </c>
      <c r="S26" s="4" t="s">
        <v>107</v>
      </c>
      <c r="T26" s="4" t="s">
        <v>108</v>
      </c>
      <c r="U26" s="4" t="s">
        <v>69</v>
      </c>
      <c r="V26" s="4" t="s">
        <v>108</v>
      </c>
      <c r="W26" s="4" t="s">
        <v>118</v>
      </c>
      <c r="X26" s="4" t="s">
        <v>72</v>
      </c>
      <c r="Y26" s="4" t="s">
        <v>73</v>
      </c>
      <c r="Z26" s="4" t="s">
        <v>110</v>
      </c>
      <c r="AA26" s="4">
        <v>22.54545263085004</v>
      </c>
      <c r="AB26" s="4" t="s">
        <v>111</v>
      </c>
      <c r="AC26" s="4" t="s">
        <v>112</v>
      </c>
      <c r="AD26" s="4">
        <v>17</v>
      </c>
      <c r="AH26" s="4" t="s">
        <v>73</v>
      </c>
      <c r="AI26" s="4" t="s">
        <v>74</v>
      </c>
      <c r="AJ26" s="4" t="s">
        <v>117</v>
      </c>
      <c r="AK26" s="4">
        <v>5.4675291723273898E-3</v>
      </c>
      <c r="AM26" s="4" t="s">
        <v>116</v>
      </c>
      <c r="AN26" s="4">
        <v>2</v>
      </c>
      <c r="AO26" s="4">
        <v>2</v>
      </c>
      <c r="AP26" s="26">
        <v>7</v>
      </c>
    </row>
    <row r="27" spans="1:42" s="4" customFormat="1" ht="15" customHeight="1" x14ac:dyDescent="0.3">
      <c r="A27" s="4" t="s">
        <v>152</v>
      </c>
      <c r="B27" s="4">
        <v>1</v>
      </c>
      <c r="C27" s="4" t="s">
        <v>82</v>
      </c>
      <c r="F27" s="4" t="s">
        <v>60</v>
      </c>
      <c r="G27" s="4" t="s">
        <v>103</v>
      </c>
      <c r="H27" s="4" t="s">
        <v>60</v>
      </c>
      <c r="J27" s="4">
        <v>2023</v>
      </c>
      <c r="K27" s="4" t="s">
        <v>104</v>
      </c>
      <c r="L27" s="4" t="s">
        <v>105</v>
      </c>
      <c r="M27" s="25">
        <v>1583421</v>
      </c>
      <c r="N27" s="4" t="s">
        <v>64</v>
      </c>
      <c r="O27" s="4" t="s">
        <v>65</v>
      </c>
      <c r="P27" s="4">
        <v>3</v>
      </c>
      <c r="Q27" s="4" t="s">
        <v>66</v>
      </c>
      <c r="R27" s="4" t="s">
        <v>106</v>
      </c>
      <c r="S27" s="4" t="s">
        <v>107</v>
      </c>
      <c r="T27" s="4" t="s">
        <v>108</v>
      </c>
      <c r="U27" s="4" t="s">
        <v>69</v>
      </c>
      <c r="V27" s="4" t="s">
        <v>108</v>
      </c>
      <c r="W27" s="4" t="s">
        <v>118</v>
      </c>
      <c r="X27" s="4" t="s">
        <v>72</v>
      </c>
      <c r="Y27" s="4" t="s">
        <v>73</v>
      </c>
      <c r="Z27" s="4" t="s">
        <v>110</v>
      </c>
      <c r="AA27" s="4">
        <v>22.54545263085004</v>
      </c>
      <c r="AB27" s="4" t="s">
        <v>111</v>
      </c>
      <c r="AC27" s="4" t="s">
        <v>112</v>
      </c>
      <c r="AD27" s="4">
        <v>18</v>
      </c>
      <c r="AH27" s="4" t="s">
        <v>73</v>
      </c>
      <c r="AI27" s="4" t="s">
        <v>74</v>
      </c>
      <c r="AJ27" s="4" t="s">
        <v>117</v>
      </c>
      <c r="AK27" s="4">
        <v>6.1144567118773E-3</v>
      </c>
      <c r="AM27" s="4" t="s">
        <v>116</v>
      </c>
      <c r="AN27" s="4">
        <v>2</v>
      </c>
      <c r="AO27" s="4">
        <v>2</v>
      </c>
      <c r="AP27" s="26">
        <v>10</v>
      </c>
    </row>
    <row r="28" spans="1:42" s="4" customFormat="1" ht="15" customHeight="1" x14ac:dyDescent="0.3">
      <c r="A28" s="4" t="s">
        <v>152</v>
      </c>
      <c r="B28" s="4">
        <v>1</v>
      </c>
      <c r="C28" s="4" t="s">
        <v>82</v>
      </c>
      <c r="F28" s="4" t="s">
        <v>60</v>
      </c>
      <c r="G28" s="4" t="s">
        <v>103</v>
      </c>
      <c r="H28" s="4" t="s">
        <v>60</v>
      </c>
      <c r="J28" s="4">
        <v>2023</v>
      </c>
      <c r="K28" s="4" t="s">
        <v>104</v>
      </c>
      <c r="L28" s="4" t="s">
        <v>105</v>
      </c>
      <c r="M28" s="25">
        <v>1583421</v>
      </c>
      <c r="N28" s="4" t="s">
        <v>64</v>
      </c>
      <c r="O28" s="4" t="s">
        <v>65</v>
      </c>
      <c r="P28" s="4">
        <v>3</v>
      </c>
      <c r="Q28" s="4" t="s">
        <v>66</v>
      </c>
      <c r="R28" s="4" t="s">
        <v>106</v>
      </c>
      <c r="S28" s="4" t="s">
        <v>107</v>
      </c>
      <c r="T28" s="4" t="s">
        <v>108</v>
      </c>
      <c r="U28" s="4" t="s">
        <v>69</v>
      </c>
      <c r="V28" s="4" t="s">
        <v>108</v>
      </c>
      <c r="W28" s="4" t="s">
        <v>118</v>
      </c>
      <c r="X28" s="4" t="s">
        <v>72</v>
      </c>
      <c r="Y28" s="4" t="s">
        <v>73</v>
      </c>
      <c r="Z28" s="4" t="s">
        <v>110</v>
      </c>
      <c r="AA28" s="4">
        <v>22.54545263085004</v>
      </c>
      <c r="AB28" s="4" t="s">
        <v>111</v>
      </c>
      <c r="AC28" s="4" t="s">
        <v>112</v>
      </c>
      <c r="AD28" s="4">
        <v>19</v>
      </c>
      <c r="AH28" s="4" t="s">
        <v>73</v>
      </c>
      <c r="AI28" s="4" t="s">
        <v>74</v>
      </c>
      <c r="AJ28" s="4" t="s">
        <v>117</v>
      </c>
      <c r="AK28" s="4">
        <v>6.9160162542765101E-3</v>
      </c>
      <c r="AM28" s="4" t="s">
        <v>116</v>
      </c>
      <c r="AN28" s="4">
        <v>2</v>
      </c>
      <c r="AO28" s="4">
        <v>2</v>
      </c>
      <c r="AP28" s="26">
        <v>3</v>
      </c>
    </row>
    <row r="29" spans="1:42" s="4" customFormat="1" ht="15" customHeight="1" x14ac:dyDescent="0.3">
      <c r="A29" s="4" t="s">
        <v>152</v>
      </c>
      <c r="B29" s="4">
        <v>1</v>
      </c>
      <c r="C29" s="4" t="s">
        <v>82</v>
      </c>
      <c r="F29" s="4" t="s">
        <v>60</v>
      </c>
      <c r="G29" s="4" t="s">
        <v>103</v>
      </c>
      <c r="H29" s="4" t="s">
        <v>60</v>
      </c>
      <c r="J29" s="4">
        <v>2023</v>
      </c>
      <c r="K29" s="4" t="s">
        <v>104</v>
      </c>
      <c r="L29" s="4" t="s">
        <v>105</v>
      </c>
      <c r="M29" s="25">
        <v>1583421</v>
      </c>
      <c r="N29" s="4" t="s">
        <v>64</v>
      </c>
      <c r="O29" s="4" t="s">
        <v>65</v>
      </c>
      <c r="P29" s="4">
        <v>3</v>
      </c>
      <c r="Q29" s="4" t="s">
        <v>66</v>
      </c>
      <c r="R29" s="4" t="s">
        <v>106</v>
      </c>
      <c r="S29" s="4" t="s">
        <v>107</v>
      </c>
      <c r="T29" s="4" t="s">
        <v>108</v>
      </c>
      <c r="U29" s="4" t="s">
        <v>69</v>
      </c>
      <c r="V29" s="4" t="s">
        <v>108</v>
      </c>
      <c r="W29" s="4" t="s">
        <v>118</v>
      </c>
      <c r="X29" s="4" t="s">
        <v>72</v>
      </c>
      <c r="Y29" s="4" t="s">
        <v>73</v>
      </c>
      <c r="Z29" s="4" t="s">
        <v>110</v>
      </c>
      <c r="AA29" s="4">
        <v>22.54545263085004</v>
      </c>
      <c r="AB29" s="4" t="s">
        <v>111</v>
      </c>
      <c r="AC29" s="4" t="s">
        <v>112</v>
      </c>
      <c r="AD29" s="4">
        <v>20</v>
      </c>
      <c r="AH29" s="4" t="s">
        <v>73</v>
      </c>
      <c r="AI29" s="4" t="s">
        <v>74</v>
      </c>
      <c r="AJ29" s="4" t="s">
        <v>117</v>
      </c>
      <c r="AK29" s="4">
        <v>7.9270867728723996E-3</v>
      </c>
      <c r="AM29" s="4" t="s">
        <v>116</v>
      </c>
      <c r="AN29" s="4">
        <v>2</v>
      </c>
      <c r="AO29" s="4">
        <v>2</v>
      </c>
      <c r="AP29" s="26">
        <v>29</v>
      </c>
    </row>
    <row r="30" spans="1:42" s="4" customFormat="1" ht="15" customHeight="1" x14ac:dyDescent="0.3">
      <c r="A30" s="4" t="s">
        <v>152</v>
      </c>
      <c r="B30" s="4">
        <v>1</v>
      </c>
      <c r="C30" s="4" t="s">
        <v>82</v>
      </c>
      <c r="F30" s="4" t="s">
        <v>60</v>
      </c>
      <c r="G30" s="4" t="s">
        <v>103</v>
      </c>
      <c r="H30" s="4" t="s">
        <v>60</v>
      </c>
      <c r="J30" s="4">
        <v>2023</v>
      </c>
      <c r="K30" s="4" t="s">
        <v>104</v>
      </c>
      <c r="L30" s="4" t="s">
        <v>105</v>
      </c>
      <c r="M30" s="25">
        <v>1583421</v>
      </c>
      <c r="N30" s="4" t="s">
        <v>64</v>
      </c>
      <c r="O30" s="4" t="s">
        <v>65</v>
      </c>
      <c r="P30" s="4">
        <v>3</v>
      </c>
      <c r="Q30" s="4" t="s">
        <v>66</v>
      </c>
      <c r="R30" s="4" t="s">
        <v>106</v>
      </c>
      <c r="S30" s="4" t="s">
        <v>107</v>
      </c>
      <c r="T30" s="4" t="s">
        <v>108</v>
      </c>
      <c r="U30" s="4" t="s">
        <v>69</v>
      </c>
      <c r="V30" s="4" t="s">
        <v>108</v>
      </c>
      <c r="W30" s="4" t="s">
        <v>118</v>
      </c>
      <c r="X30" s="4" t="s">
        <v>72</v>
      </c>
      <c r="Y30" s="4" t="s">
        <v>73</v>
      </c>
      <c r="Z30" s="4" t="s">
        <v>110</v>
      </c>
      <c r="AA30" s="4">
        <v>22.54545263085004</v>
      </c>
      <c r="AB30" s="4" t="s">
        <v>111</v>
      </c>
      <c r="AC30" s="4" t="s">
        <v>112</v>
      </c>
      <c r="AD30" s="4">
        <v>21</v>
      </c>
      <c r="AH30" s="4" t="s">
        <v>73</v>
      </c>
      <c r="AI30" s="4" t="s">
        <v>74</v>
      </c>
      <c r="AJ30" s="4" t="s">
        <v>117</v>
      </c>
      <c r="AK30" s="4">
        <v>8.8453217608713899E-3</v>
      </c>
      <c r="AM30" s="4" t="s">
        <v>116</v>
      </c>
      <c r="AN30" s="4">
        <v>2</v>
      </c>
      <c r="AO30" s="4">
        <v>2</v>
      </c>
      <c r="AP30" s="26">
        <v>44</v>
      </c>
    </row>
    <row r="31" spans="1:42" s="4" customFormat="1" ht="15" customHeight="1" x14ac:dyDescent="0.3">
      <c r="A31" s="4" t="s">
        <v>152</v>
      </c>
      <c r="B31" s="4">
        <v>1</v>
      </c>
      <c r="C31" s="4" t="s">
        <v>82</v>
      </c>
      <c r="F31" s="4" t="s">
        <v>60</v>
      </c>
      <c r="G31" s="4" t="s">
        <v>103</v>
      </c>
      <c r="H31" s="4" t="s">
        <v>60</v>
      </c>
      <c r="J31" s="4">
        <v>2023</v>
      </c>
      <c r="K31" s="4" t="s">
        <v>104</v>
      </c>
      <c r="L31" s="4" t="s">
        <v>105</v>
      </c>
      <c r="M31" s="25">
        <v>1583421</v>
      </c>
      <c r="N31" s="4" t="s">
        <v>64</v>
      </c>
      <c r="O31" s="4" t="s">
        <v>65</v>
      </c>
      <c r="P31" s="4">
        <v>3</v>
      </c>
      <c r="Q31" s="4" t="s">
        <v>66</v>
      </c>
      <c r="R31" s="4" t="s">
        <v>106</v>
      </c>
      <c r="S31" s="4" t="s">
        <v>107</v>
      </c>
      <c r="T31" s="4" t="s">
        <v>108</v>
      </c>
      <c r="U31" s="4" t="s">
        <v>69</v>
      </c>
      <c r="V31" s="4" t="s">
        <v>108</v>
      </c>
      <c r="W31" s="4" t="s">
        <v>118</v>
      </c>
      <c r="X31" s="4" t="s">
        <v>72</v>
      </c>
      <c r="Y31" s="4" t="s">
        <v>73</v>
      </c>
      <c r="Z31" s="4" t="s">
        <v>110</v>
      </c>
      <c r="AA31" s="4">
        <v>22.54545263085004</v>
      </c>
      <c r="AB31" s="4" t="s">
        <v>111</v>
      </c>
      <c r="AC31" s="4" t="s">
        <v>112</v>
      </c>
      <c r="AD31" s="4">
        <v>22</v>
      </c>
      <c r="AH31" s="4" t="s">
        <v>73</v>
      </c>
      <c r="AI31" s="4" t="s">
        <v>74</v>
      </c>
      <c r="AJ31" s="4" t="s">
        <v>117</v>
      </c>
      <c r="AK31" s="4">
        <v>1.0010946123341E-2</v>
      </c>
      <c r="AM31" s="4" t="s">
        <v>116</v>
      </c>
      <c r="AN31" s="4">
        <v>2</v>
      </c>
      <c r="AO31" s="4">
        <v>2</v>
      </c>
      <c r="AP31" s="26">
        <v>50</v>
      </c>
    </row>
    <row r="32" spans="1:42" s="4" customFormat="1" ht="15" customHeight="1" x14ac:dyDescent="0.3">
      <c r="A32" s="4" t="s">
        <v>152</v>
      </c>
      <c r="B32" s="4">
        <v>1</v>
      </c>
      <c r="C32" s="4" t="s">
        <v>82</v>
      </c>
      <c r="F32" s="4" t="s">
        <v>60</v>
      </c>
      <c r="G32" s="4" t="s">
        <v>103</v>
      </c>
      <c r="H32" s="4" t="s">
        <v>60</v>
      </c>
      <c r="J32" s="4">
        <v>2023</v>
      </c>
      <c r="K32" s="4" t="s">
        <v>104</v>
      </c>
      <c r="L32" s="4" t="s">
        <v>105</v>
      </c>
      <c r="M32" s="25">
        <v>1583421</v>
      </c>
      <c r="N32" s="4" t="s">
        <v>64</v>
      </c>
      <c r="O32" s="4" t="s">
        <v>65</v>
      </c>
      <c r="P32" s="4">
        <v>3</v>
      </c>
      <c r="Q32" s="4" t="s">
        <v>66</v>
      </c>
      <c r="R32" s="4" t="s">
        <v>106</v>
      </c>
      <c r="S32" s="4" t="s">
        <v>107</v>
      </c>
      <c r="T32" s="4" t="s">
        <v>108</v>
      </c>
      <c r="U32" s="4" t="s">
        <v>69</v>
      </c>
      <c r="V32" s="4" t="s">
        <v>108</v>
      </c>
      <c r="W32" s="4" t="s">
        <v>118</v>
      </c>
      <c r="X32" s="4" t="s">
        <v>72</v>
      </c>
      <c r="Y32" s="4" t="s">
        <v>73</v>
      </c>
      <c r="Z32" s="4" t="s">
        <v>110</v>
      </c>
      <c r="AA32" s="4">
        <v>22.54545263085004</v>
      </c>
      <c r="AB32" s="4" t="s">
        <v>111</v>
      </c>
      <c r="AC32" s="4" t="s">
        <v>112</v>
      </c>
      <c r="AD32" s="4">
        <v>23</v>
      </c>
      <c r="AH32" s="4" t="s">
        <v>73</v>
      </c>
      <c r="AI32" s="4" t="s">
        <v>74</v>
      </c>
      <c r="AJ32" s="4" t="s">
        <v>117</v>
      </c>
      <c r="AK32" s="4">
        <v>1.1148235171078699E-2</v>
      </c>
      <c r="AM32" s="4" t="s">
        <v>116</v>
      </c>
      <c r="AN32" s="4">
        <v>2</v>
      </c>
      <c r="AO32" s="4">
        <v>2</v>
      </c>
      <c r="AP32" s="26">
        <v>47</v>
      </c>
    </row>
    <row r="33" spans="1:42" s="4" customFormat="1" ht="15" customHeight="1" x14ac:dyDescent="0.3">
      <c r="A33" s="4" t="s">
        <v>152</v>
      </c>
      <c r="B33" s="4">
        <v>1</v>
      </c>
      <c r="C33" s="4" t="s">
        <v>82</v>
      </c>
      <c r="F33" s="4" t="s">
        <v>60</v>
      </c>
      <c r="G33" s="4" t="s">
        <v>103</v>
      </c>
      <c r="H33" s="4" t="s">
        <v>60</v>
      </c>
      <c r="J33" s="4">
        <v>2023</v>
      </c>
      <c r="K33" s="4" t="s">
        <v>104</v>
      </c>
      <c r="L33" s="4" t="s">
        <v>105</v>
      </c>
      <c r="M33" s="25">
        <v>1583421</v>
      </c>
      <c r="N33" s="4" t="s">
        <v>64</v>
      </c>
      <c r="O33" s="4" t="s">
        <v>65</v>
      </c>
      <c r="P33" s="4">
        <v>3</v>
      </c>
      <c r="Q33" s="4" t="s">
        <v>66</v>
      </c>
      <c r="R33" s="4" t="s">
        <v>106</v>
      </c>
      <c r="S33" s="4" t="s">
        <v>107</v>
      </c>
      <c r="T33" s="4" t="s">
        <v>108</v>
      </c>
      <c r="U33" s="4" t="s">
        <v>69</v>
      </c>
      <c r="V33" s="4" t="s">
        <v>108</v>
      </c>
      <c r="W33" s="4" t="s">
        <v>118</v>
      </c>
      <c r="X33" s="4" t="s">
        <v>72</v>
      </c>
      <c r="Y33" s="4" t="s">
        <v>73</v>
      </c>
      <c r="Z33" s="4" t="s">
        <v>110</v>
      </c>
      <c r="AA33" s="4">
        <v>22.54545263085004</v>
      </c>
      <c r="AB33" s="4" t="s">
        <v>111</v>
      </c>
      <c r="AC33" s="4" t="s">
        <v>112</v>
      </c>
      <c r="AD33" s="4">
        <v>24</v>
      </c>
      <c r="AH33" s="4" t="s">
        <v>73</v>
      </c>
      <c r="AI33" s="4" t="s">
        <v>74</v>
      </c>
      <c r="AJ33" s="4" t="s">
        <v>117</v>
      </c>
      <c r="AK33" s="4">
        <v>1.25869427670208E-2</v>
      </c>
      <c r="AM33" s="4" t="s">
        <v>116</v>
      </c>
      <c r="AN33" s="4">
        <v>2</v>
      </c>
      <c r="AO33" s="4">
        <v>2</v>
      </c>
      <c r="AP33" s="26">
        <v>21</v>
      </c>
    </row>
    <row r="34" spans="1:42" s="4" customFormat="1" ht="15" customHeight="1" x14ac:dyDescent="0.3">
      <c r="A34" s="4" t="s">
        <v>152</v>
      </c>
      <c r="B34" s="4">
        <v>1</v>
      </c>
      <c r="C34" s="4" t="s">
        <v>82</v>
      </c>
      <c r="F34" s="4" t="s">
        <v>60</v>
      </c>
      <c r="G34" s="4" t="s">
        <v>103</v>
      </c>
      <c r="H34" s="4" t="s">
        <v>60</v>
      </c>
      <c r="J34" s="4">
        <v>2023</v>
      </c>
      <c r="K34" s="4" t="s">
        <v>104</v>
      </c>
      <c r="L34" s="4" t="s">
        <v>105</v>
      </c>
      <c r="M34" s="25">
        <v>1583421</v>
      </c>
      <c r="N34" s="4" t="s">
        <v>64</v>
      </c>
      <c r="O34" s="4" t="s">
        <v>65</v>
      </c>
      <c r="P34" s="4">
        <v>3</v>
      </c>
      <c r="Q34" s="4" t="s">
        <v>66</v>
      </c>
      <c r="R34" s="4" t="s">
        <v>106</v>
      </c>
      <c r="S34" s="4" t="s">
        <v>107</v>
      </c>
      <c r="T34" s="4" t="s">
        <v>108</v>
      </c>
      <c r="U34" s="4" t="s">
        <v>69</v>
      </c>
      <c r="V34" s="4" t="s">
        <v>108</v>
      </c>
      <c r="W34" s="4" t="s">
        <v>118</v>
      </c>
      <c r="X34" s="4" t="s">
        <v>72</v>
      </c>
      <c r="Y34" s="4" t="s">
        <v>73</v>
      </c>
      <c r="Z34" s="4" t="s">
        <v>110</v>
      </c>
      <c r="AA34" s="4">
        <v>22.54545263085004</v>
      </c>
      <c r="AB34" s="4" t="s">
        <v>111</v>
      </c>
      <c r="AC34" s="4" t="s">
        <v>112</v>
      </c>
      <c r="AD34" s="4">
        <v>25</v>
      </c>
      <c r="AH34" s="4" t="s">
        <v>73</v>
      </c>
      <c r="AI34" s="4" t="s">
        <v>74</v>
      </c>
      <c r="AJ34" s="4" t="s">
        <v>117</v>
      </c>
      <c r="AK34" s="4">
        <v>1.3782784392900401E-2</v>
      </c>
      <c r="AM34" s="4" t="s">
        <v>116</v>
      </c>
      <c r="AN34" s="4">
        <v>2</v>
      </c>
      <c r="AO34" s="4">
        <v>2</v>
      </c>
      <c r="AP34" s="26">
        <v>14</v>
      </c>
    </row>
    <row r="35" spans="1:42" s="4" customFormat="1" ht="15" customHeight="1" x14ac:dyDescent="0.3">
      <c r="A35" s="4" t="s">
        <v>152</v>
      </c>
      <c r="B35" s="4">
        <v>1</v>
      </c>
      <c r="C35" s="4" t="s">
        <v>82</v>
      </c>
      <c r="F35" s="4" t="s">
        <v>60</v>
      </c>
      <c r="G35" s="4" t="s">
        <v>103</v>
      </c>
      <c r="H35" s="4" t="s">
        <v>60</v>
      </c>
      <c r="J35" s="4">
        <v>2023</v>
      </c>
      <c r="K35" s="4" t="s">
        <v>104</v>
      </c>
      <c r="L35" s="4" t="s">
        <v>105</v>
      </c>
      <c r="M35" s="25">
        <v>1583421</v>
      </c>
      <c r="N35" s="4" t="s">
        <v>64</v>
      </c>
      <c r="O35" s="4" t="s">
        <v>65</v>
      </c>
      <c r="P35" s="4">
        <v>3</v>
      </c>
      <c r="Q35" s="4" t="s">
        <v>66</v>
      </c>
      <c r="R35" s="4" t="s">
        <v>106</v>
      </c>
      <c r="S35" s="4" t="s">
        <v>107</v>
      </c>
      <c r="T35" s="4" t="s">
        <v>108</v>
      </c>
      <c r="U35" s="4" t="s">
        <v>69</v>
      </c>
      <c r="V35" s="4" t="s">
        <v>108</v>
      </c>
      <c r="W35" s="4" t="s">
        <v>118</v>
      </c>
      <c r="X35" s="4" t="s">
        <v>72</v>
      </c>
      <c r="Y35" s="4" t="s">
        <v>73</v>
      </c>
      <c r="Z35" s="4" t="s">
        <v>110</v>
      </c>
      <c r="AA35" s="4">
        <v>22.54545263085004</v>
      </c>
      <c r="AB35" s="4" t="s">
        <v>111</v>
      </c>
      <c r="AC35" s="4" t="s">
        <v>112</v>
      </c>
      <c r="AD35" s="4">
        <v>26</v>
      </c>
      <c r="AH35" s="4" t="s">
        <v>73</v>
      </c>
      <c r="AI35" s="4" t="s">
        <v>74</v>
      </c>
      <c r="AJ35" s="4" t="s">
        <v>117</v>
      </c>
      <c r="AK35" s="4">
        <v>1.6894754803179299E-2</v>
      </c>
      <c r="AM35" s="4" t="s">
        <v>116</v>
      </c>
      <c r="AN35" s="4">
        <v>2</v>
      </c>
      <c r="AO35" s="4">
        <v>2</v>
      </c>
      <c r="AP35" s="26">
        <v>2</v>
      </c>
    </row>
    <row r="36" spans="1:42" s="7" customFormat="1" ht="15" customHeight="1" x14ac:dyDescent="0.3">
      <c r="A36" s="7" t="s">
        <v>152</v>
      </c>
      <c r="B36" s="7">
        <v>1</v>
      </c>
      <c r="C36" s="7" t="s">
        <v>82</v>
      </c>
      <c r="D36" s="8" t="s">
        <v>82</v>
      </c>
      <c r="E36" s="7" t="s">
        <v>83</v>
      </c>
      <c r="F36" s="7" t="s">
        <v>84</v>
      </c>
      <c r="G36" s="7" t="s">
        <v>103</v>
      </c>
      <c r="H36" s="7" t="s">
        <v>60</v>
      </c>
      <c r="J36" s="7">
        <v>2023</v>
      </c>
      <c r="K36" s="7" t="s">
        <v>104</v>
      </c>
      <c r="L36" s="7" t="s">
        <v>105</v>
      </c>
      <c r="M36" s="27">
        <v>1583421</v>
      </c>
      <c r="N36" s="7" t="s">
        <v>64</v>
      </c>
      <c r="O36" s="7" t="s">
        <v>65</v>
      </c>
      <c r="P36" s="7">
        <v>2</v>
      </c>
      <c r="Q36" s="7" t="s">
        <v>66</v>
      </c>
      <c r="R36" s="7" t="s">
        <v>106</v>
      </c>
      <c r="S36" s="7" t="s">
        <v>107</v>
      </c>
      <c r="T36" s="7" t="s">
        <v>108</v>
      </c>
      <c r="U36" s="7" t="s">
        <v>69</v>
      </c>
      <c r="V36" s="7" t="s">
        <v>108</v>
      </c>
      <c r="X36" s="7" t="s">
        <v>72</v>
      </c>
      <c r="Y36" s="7" t="s">
        <v>73</v>
      </c>
      <c r="Z36" s="7" t="s">
        <v>110</v>
      </c>
      <c r="AA36" s="7">
        <v>143.62095731508401</v>
      </c>
      <c r="AB36" s="7" t="s">
        <v>111</v>
      </c>
      <c r="AC36" s="7" t="s">
        <v>112</v>
      </c>
      <c r="AD36" s="28">
        <v>17</v>
      </c>
      <c r="AH36" s="7" t="s">
        <v>113</v>
      </c>
      <c r="AI36" s="7" t="s">
        <v>114</v>
      </c>
      <c r="AJ36" s="7" t="s">
        <v>115</v>
      </c>
      <c r="AK36" s="7">
        <v>237.50533535813074</v>
      </c>
    </row>
    <row r="37" spans="1:42" s="7" customFormat="1" ht="15" customHeight="1" x14ac:dyDescent="0.3">
      <c r="A37" s="7" t="s">
        <v>152</v>
      </c>
      <c r="B37" s="7">
        <v>1</v>
      </c>
      <c r="C37" s="7" t="s">
        <v>82</v>
      </c>
      <c r="D37" s="8" t="s">
        <v>82</v>
      </c>
      <c r="E37" s="7" t="s">
        <v>83</v>
      </c>
      <c r="F37" s="7" t="s">
        <v>84</v>
      </c>
      <c r="G37" s="7" t="s">
        <v>103</v>
      </c>
      <c r="H37" s="7" t="s">
        <v>60</v>
      </c>
      <c r="J37" s="7">
        <v>2023</v>
      </c>
      <c r="K37" s="7" t="s">
        <v>104</v>
      </c>
      <c r="L37" s="7" t="s">
        <v>105</v>
      </c>
      <c r="M37" s="27">
        <v>1583421</v>
      </c>
      <c r="N37" s="7" t="s">
        <v>64</v>
      </c>
      <c r="O37" s="7" t="s">
        <v>65</v>
      </c>
      <c r="P37" s="7">
        <v>2</v>
      </c>
      <c r="Q37" s="7" t="s">
        <v>66</v>
      </c>
      <c r="R37" s="7" t="s">
        <v>106</v>
      </c>
      <c r="S37" s="7" t="s">
        <v>107</v>
      </c>
      <c r="T37" s="7" t="s">
        <v>108</v>
      </c>
      <c r="U37" s="7" t="s">
        <v>69</v>
      </c>
      <c r="V37" s="7" t="s">
        <v>108</v>
      </c>
      <c r="X37" s="7" t="s">
        <v>72</v>
      </c>
      <c r="Y37" s="7" t="s">
        <v>73</v>
      </c>
      <c r="Z37" s="7" t="s">
        <v>110</v>
      </c>
      <c r="AA37" s="7">
        <v>143.62095731508401</v>
      </c>
      <c r="AB37" s="7" t="s">
        <v>111</v>
      </c>
      <c r="AC37" s="7" t="s">
        <v>112</v>
      </c>
      <c r="AD37" s="28">
        <v>18</v>
      </c>
      <c r="AH37" s="7" t="s">
        <v>113</v>
      </c>
      <c r="AI37" s="7" t="s">
        <v>114</v>
      </c>
      <c r="AJ37" s="7" t="s">
        <v>115</v>
      </c>
      <c r="AK37" s="7">
        <v>347.07601724177181</v>
      </c>
    </row>
    <row r="38" spans="1:42" s="7" customFormat="1" ht="15" customHeight="1" x14ac:dyDescent="0.3">
      <c r="A38" s="7" t="s">
        <v>152</v>
      </c>
      <c r="B38" s="7">
        <v>1</v>
      </c>
      <c r="C38" s="7" t="s">
        <v>82</v>
      </c>
      <c r="D38" s="8" t="s">
        <v>82</v>
      </c>
      <c r="E38" s="7" t="s">
        <v>83</v>
      </c>
      <c r="F38" s="7" t="s">
        <v>84</v>
      </c>
      <c r="G38" s="7" t="s">
        <v>103</v>
      </c>
      <c r="H38" s="7" t="s">
        <v>60</v>
      </c>
      <c r="J38" s="7">
        <v>2023</v>
      </c>
      <c r="K38" s="7" t="s">
        <v>104</v>
      </c>
      <c r="L38" s="7" t="s">
        <v>105</v>
      </c>
      <c r="M38" s="27">
        <v>1583421</v>
      </c>
      <c r="N38" s="7" t="s">
        <v>64</v>
      </c>
      <c r="O38" s="7" t="s">
        <v>65</v>
      </c>
      <c r="P38" s="7">
        <v>2</v>
      </c>
      <c r="Q38" s="7" t="s">
        <v>66</v>
      </c>
      <c r="R38" s="7" t="s">
        <v>106</v>
      </c>
      <c r="S38" s="7" t="s">
        <v>107</v>
      </c>
      <c r="T38" s="7" t="s">
        <v>108</v>
      </c>
      <c r="U38" s="7" t="s">
        <v>69</v>
      </c>
      <c r="V38" s="7" t="s">
        <v>108</v>
      </c>
      <c r="X38" s="7" t="s">
        <v>72</v>
      </c>
      <c r="Y38" s="7" t="s">
        <v>73</v>
      </c>
      <c r="Z38" s="7" t="s">
        <v>110</v>
      </c>
      <c r="AA38" s="7">
        <v>143.62095731508401</v>
      </c>
      <c r="AB38" s="7" t="s">
        <v>111</v>
      </c>
      <c r="AC38" s="7" t="s">
        <v>112</v>
      </c>
      <c r="AD38" s="28">
        <v>19</v>
      </c>
      <c r="AH38" s="7" t="s">
        <v>113</v>
      </c>
      <c r="AI38" s="7" t="s">
        <v>114</v>
      </c>
      <c r="AJ38" s="7" t="s">
        <v>115</v>
      </c>
      <c r="AK38" s="7">
        <v>111.24120948451881</v>
      </c>
    </row>
    <row r="39" spans="1:42" s="7" customFormat="1" ht="15" customHeight="1" x14ac:dyDescent="0.3">
      <c r="A39" s="7" t="s">
        <v>152</v>
      </c>
      <c r="B39" s="7">
        <v>1</v>
      </c>
      <c r="C39" s="7" t="s">
        <v>82</v>
      </c>
      <c r="D39" s="8" t="s">
        <v>82</v>
      </c>
      <c r="E39" s="7" t="s">
        <v>83</v>
      </c>
      <c r="F39" s="7" t="s">
        <v>84</v>
      </c>
      <c r="G39" s="7" t="s">
        <v>103</v>
      </c>
      <c r="H39" s="7" t="s">
        <v>60</v>
      </c>
      <c r="J39" s="7">
        <v>2023</v>
      </c>
      <c r="K39" s="7" t="s">
        <v>104</v>
      </c>
      <c r="L39" s="7" t="s">
        <v>105</v>
      </c>
      <c r="M39" s="27">
        <v>1583421</v>
      </c>
      <c r="N39" s="7" t="s">
        <v>64</v>
      </c>
      <c r="O39" s="7" t="s">
        <v>65</v>
      </c>
      <c r="P39" s="7">
        <v>2</v>
      </c>
      <c r="Q39" s="7" t="s">
        <v>66</v>
      </c>
      <c r="R39" s="7" t="s">
        <v>106</v>
      </c>
      <c r="S39" s="7" t="s">
        <v>107</v>
      </c>
      <c r="T39" s="7" t="s">
        <v>108</v>
      </c>
      <c r="U39" s="7" t="s">
        <v>69</v>
      </c>
      <c r="V39" s="7" t="s">
        <v>108</v>
      </c>
      <c r="X39" s="7" t="s">
        <v>72</v>
      </c>
      <c r="Y39" s="7" t="s">
        <v>73</v>
      </c>
      <c r="Z39" s="7" t="s">
        <v>110</v>
      </c>
      <c r="AA39" s="7">
        <v>143.62095731508401</v>
      </c>
      <c r="AB39" s="7" t="s">
        <v>111</v>
      </c>
      <c r="AC39" s="7" t="s">
        <v>112</v>
      </c>
      <c r="AD39" s="7">
        <v>20</v>
      </c>
      <c r="AH39" s="7" t="s">
        <v>113</v>
      </c>
      <c r="AI39" s="7" t="s">
        <v>114</v>
      </c>
      <c r="AJ39" s="7" t="s">
        <v>115</v>
      </c>
      <c r="AK39" s="7">
        <v>1290.3521995014776</v>
      </c>
    </row>
    <row r="40" spans="1:42" s="7" customFormat="1" ht="15" customHeight="1" x14ac:dyDescent="0.3">
      <c r="A40" s="7" t="s">
        <v>152</v>
      </c>
      <c r="B40" s="7">
        <v>1</v>
      </c>
      <c r="C40" s="7" t="s">
        <v>82</v>
      </c>
      <c r="D40" s="8" t="s">
        <v>82</v>
      </c>
      <c r="E40" s="7" t="s">
        <v>83</v>
      </c>
      <c r="F40" s="7" t="s">
        <v>84</v>
      </c>
      <c r="G40" s="7" t="s">
        <v>103</v>
      </c>
      <c r="H40" s="7" t="s">
        <v>60</v>
      </c>
      <c r="J40" s="7">
        <v>2023</v>
      </c>
      <c r="K40" s="7" t="s">
        <v>104</v>
      </c>
      <c r="L40" s="7" t="s">
        <v>105</v>
      </c>
      <c r="M40" s="27">
        <v>1583421</v>
      </c>
      <c r="N40" s="7" t="s">
        <v>64</v>
      </c>
      <c r="O40" s="7" t="s">
        <v>65</v>
      </c>
      <c r="P40" s="7">
        <v>2</v>
      </c>
      <c r="Q40" s="7" t="s">
        <v>66</v>
      </c>
      <c r="R40" s="7" t="s">
        <v>106</v>
      </c>
      <c r="S40" s="7" t="s">
        <v>107</v>
      </c>
      <c r="T40" s="7" t="s">
        <v>108</v>
      </c>
      <c r="U40" s="7" t="s">
        <v>69</v>
      </c>
      <c r="V40" s="7" t="s">
        <v>108</v>
      </c>
      <c r="X40" s="7" t="s">
        <v>72</v>
      </c>
      <c r="Y40" s="7" t="s">
        <v>73</v>
      </c>
      <c r="Z40" s="7" t="s">
        <v>110</v>
      </c>
      <c r="AA40" s="7">
        <v>143.62095731508401</v>
      </c>
      <c r="AB40" s="7" t="s">
        <v>111</v>
      </c>
      <c r="AC40" s="7" t="s">
        <v>112</v>
      </c>
      <c r="AD40" s="7">
        <v>21</v>
      </c>
      <c r="AH40" s="7" t="s">
        <v>113</v>
      </c>
      <c r="AI40" s="7" t="s">
        <v>114</v>
      </c>
      <c r="AJ40" s="7" t="s">
        <v>115</v>
      </c>
      <c r="AK40" s="7">
        <v>1910.7991057624074</v>
      </c>
    </row>
    <row r="41" spans="1:42" s="7" customFormat="1" ht="15" customHeight="1" x14ac:dyDescent="0.3">
      <c r="A41" s="7" t="s">
        <v>152</v>
      </c>
      <c r="B41" s="7">
        <v>1</v>
      </c>
      <c r="C41" s="7" t="s">
        <v>82</v>
      </c>
      <c r="D41" s="8" t="s">
        <v>82</v>
      </c>
      <c r="E41" s="7" t="s">
        <v>83</v>
      </c>
      <c r="F41" s="7" t="s">
        <v>84</v>
      </c>
      <c r="G41" s="7" t="s">
        <v>103</v>
      </c>
      <c r="H41" s="7" t="s">
        <v>60</v>
      </c>
      <c r="J41" s="7">
        <v>2023</v>
      </c>
      <c r="K41" s="7" t="s">
        <v>104</v>
      </c>
      <c r="L41" s="7" t="s">
        <v>105</v>
      </c>
      <c r="M41" s="27">
        <v>1583421</v>
      </c>
      <c r="N41" s="7" t="s">
        <v>64</v>
      </c>
      <c r="O41" s="7" t="s">
        <v>65</v>
      </c>
      <c r="P41" s="7">
        <v>2</v>
      </c>
      <c r="Q41" s="7" t="s">
        <v>66</v>
      </c>
      <c r="R41" s="7" t="s">
        <v>106</v>
      </c>
      <c r="S41" s="7" t="s">
        <v>107</v>
      </c>
      <c r="T41" s="7" t="s">
        <v>108</v>
      </c>
      <c r="U41" s="7" t="s">
        <v>69</v>
      </c>
      <c r="V41" s="7" t="s">
        <v>108</v>
      </c>
      <c r="X41" s="7" t="s">
        <v>72</v>
      </c>
      <c r="Y41" s="7" t="s">
        <v>73</v>
      </c>
      <c r="Z41" s="7" t="s">
        <v>110</v>
      </c>
      <c r="AA41" s="7">
        <v>143.62095731508401</v>
      </c>
      <c r="AB41" s="7" t="s">
        <v>111</v>
      </c>
      <c r="AC41" s="7" t="s">
        <v>112</v>
      </c>
      <c r="AD41" s="7">
        <v>22</v>
      </c>
      <c r="AH41" s="7" t="s">
        <v>113</v>
      </c>
      <c r="AI41" s="7" t="s">
        <v>114</v>
      </c>
      <c r="AJ41" s="7" t="s">
        <v>115</v>
      </c>
      <c r="AK41" s="7">
        <v>1894.8008738474211</v>
      </c>
    </row>
    <row r="42" spans="1:42" s="7" customFormat="1" ht="15" customHeight="1" x14ac:dyDescent="0.3">
      <c r="A42" s="7" t="s">
        <v>152</v>
      </c>
      <c r="B42" s="7">
        <v>1</v>
      </c>
      <c r="C42" s="7" t="s">
        <v>82</v>
      </c>
      <c r="D42" s="8" t="s">
        <v>82</v>
      </c>
      <c r="E42" s="7" t="s">
        <v>83</v>
      </c>
      <c r="F42" s="7" t="s">
        <v>84</v>
      </c>
      <c r="G42" s="7" t="s">
        <v>103</v>
      </c>
      <c r="H42" s="7" t="s">
        <v>60</v>
      </c>
      <c r="J42" s="7">
        <v>2023</v>
      </c>
      <c r="K42" s="7" t="s">
        <v>104</v>
      </c>
      <c r="L42" s="7" t="s">
        <v>105</v>
      </c>
      <c r="M42" s="27">
        <v>1583421</v>
      </c>
      <c r="N42" s="7" t="s">
        <v>64</v>
      </c>
      <c r="O42" s="7" t="s">
        <v>65</v>
      </c>
      <c r="P42" s="7">
        <v>2</v>
      </c>
      <c r="Q42" s="7" t="s">
        <v>66</v>
      </c>
      <c r="R42" s="7" t="s">
        <v>106</v>
      </c>
      <c r="S42" s="7" t="s">
        <v>107</v>
      </c>
      <c r="T42" s="7" t="s">
        <v>108</v>
      </c>
      <c r="U42" s="7" t="s">
        <v>69</v>
      </c>
      <c r="V42" s="7" t="s">
        <v>108</v>
      </c>
      <c r="X42" s="7" t="s">
        <v>72</v>
      </c>
      <c r="Y42" s="7" t="s">
        <v>73</v>
      </c>
      <c r="Z42" s="7" t="s">
        <v>110</v>
      </c>
      <c r="AA42" s="7">
        <v>143.62095731508401</v>
      </c>
      <c r="AB42" s="7" t="s">
        <v>111</v>
      </c>
      <c r="AC42" s="7" t="s">
        <v>112</v>
      </c>
      <c r="AD42" s="7">
        <v>23</v>
      </c>
      <c r="AH42" s="7" t="s">
        <v>113</v>
      </c>
      <c r="AI42" s="7" t="s">
        <v>114</v>
      </c>
      <c r="AJ42" s="7" t="s">
        <v>115</v>
      </c>
      <c r="AK42" s="7">
        <v>2737.3263919967662</v>
      </c>
    </row>
    <row r="43" spans="1:42" s="7" customFormat="1" ht="15" customHeight="1" x14ac:dyDescent="0.3">
      <c r="A43" s="7" t="s">
        <v>152</v>
      </c>
      <c r="B43" s="7">
        <v>1</v>
      </c>
      <c r="C43" s="7" t="s">
        <v>82</v>
      </c>
      <c r="D43" s="8" t="s">
        <v>82</v>
      </c>
      <c r="E43" s="7" t="s">
        <v>83</v>
      </c>
      <c r="F43" s="7" t="s">
        <v>84</v>
      </c>
      <c r="G43" s="7" t="s">
        <v>103</v>
      </c>
      <c r="H43" s="7" t="s">
        <v>60</v>
      </c>
      <c r="J43" s="7">
        <v>2023</v>
      </c>
      <c r="K43" s="7" t="s">
        <v>104</v>
      </c>
      <c r="L43" s="7" t="s">
        <v>105</v>
      </c>
      <c r="M43" s="27">
        <v>1583421</v>
      </c>
      <c r="N43" s="7" t="s">
        <v>64</v>
      </c>
      <c r="O43" s="7" t="s">
        <v>65</v>
      </c>
      <c r="P43" s="7">
        <v>2</v>
      </c>
      <c r="Q43" s="7" t="s">
        <v>66</v>
      </c>
      <c r="R43" s="7" t="s">
        <v>106</v>
      </c>
      <c r="S43" s="7" t="s">
        <v>107</v>
      </c>
      <c r="T43" s="7" t="s">
        <v>108</v>
      </c>
      <c r="U43" s="7" t="s">
        <v>69</v>
      </c>
      <c r="V43" s="7" t="s">
        <v>108</v>
      </c>
      <c r="X43" s="7" t="s">
        <v>72</v>
      </c>
      <c r="Y43" s="7" t="s">
        <v>73</v>
      </c>
      <c r="Z43" s="7" t="s">
        <v>110</v>
      </c>
      <c r="AA43" s="7">
        <v>143.62095731508401</v>
      </c>
      <c r="AB43" s="7" t="s">
        <v>111</v>
      </c>
      <c r="AC43" s="7" t="s">
        <v>112</v>
      </c>
      <c r="AD43" s="7">
        <v>24</v>
      </c>
      <c r="AH43" s="7" t="s">
        <v>113</v>
      </c>
      <c r="AI43" s="7" t="s">
        <v>114</v>
      </c>
      <c r="AJ43" s="7" t="s">
        <v>115</v>
      </c>
      <c r="AK43" s="7">
        <v>2321.8271018226933</v>
      </c>
    </row>
    <row r="44" spans="1:42" s="7" customFormat="1" ht="15" customHeight="1" x14ac:dyDescent="0.3">
      <c r="A44" s="7" t="s">
        <v>152</v>
      </c>
      <c r="B44" s="7">
        <v>1</v>
      </c>
      <c r="C44" s="7" t="s">
        <v>82</v>
      </c>
      <c r="D44" s="8" t="s">
        <v>82</v>
      </c>
      <c r="E44" s="7" t="s">
        <v>83</v>
      </c>
      <c r="F44" s="7" t="s">
        <v>84</v>
      </c>
      <c r="G44" s="7" t="s">
        <v>103</v>
      </c>
      <c r="H44" s="7" t="s">
        <v>60</v>
      </c>
      <c r="J44" s="7">
        <v>2023</v>
      </c>
      <c r="K44" s="7" t="s">
        <v>104</v>
      </c>
      <c r="L44" s="7" t="s">
        <v>105</v>
      </c>
      <c r="M44" s="27">
        <v>1583421</v>
      </c>
      <c r="N44" s="7" t="s">
        <v>64</v>
      </c>
      <c r="O44" s="7" t="s">
        <v>65</v>
      </c>
      <c r="P44" s="7">
        <v>2</v>
      </c>
      <c r="Q44" s="7" t="s">
        <v>66</v>
      </c>
      <c r="R44" s="7" t="s">
        <v>106</v>
      </c>
      <c r="S44" s="7" t="s">
        <v>107</v>
      </c>
      <c r="T44" s="7" t="s">
        <v>108</v>
      </c>
      <c r="U44" s="7" t="s">
        <v>69</v>
      </c>
      <c r="V44" s="7" t="s">
        <v>108</v>
      </c>
      <c r="X44" s="7" t="s">
        <v>72</v>
      </c>
      <c r="Y44" s="7" t="s">
        <v>73</v>
      </c>
      <c r="Z44" s="7" t="s">
        <v>110</v>
      </c>
      <c r="AA44" s="7">
        <v>143.62095731508401</v>
      </c>
      <c r="AB44" s="7" t="s">
        <v>111</v>
      </c>
      <c r="AC44" s="7" t="s">
        <v>112</v>
      </c>
      <c r="AD44" s="7">
        <v>25</v>
      </c>
      <c r="AH44" s="7" t="s">
        <v>113</v>
      </c>
      <c r="AI44" s="7" t="s">
        <v>114</v>
      </c>
      <c r="AJ44" s="7" t="s">
        <v>115</v>
      </c>
      <c r="AK44" s="7">
        <v>2284.0464166552583</v>
      </c>
    </row>
    <row r="45" spans="1:42" s="7" customFormat="1" ht="15" customHeight="1" x14ac:dyDescent="0.3">
      <c r="A45" s="7" t="s">
        <v>152</v>
      </c>
      <c r="B45" s="7">
        <v>1</v>
      </c>
      <c r="C45" s="7" t="s">
        <v>82</v>
      </c>
      <c r="D45" s="8" t="s">
        <v>82</v>
      </c>
      <c r="E45" s="7" t="s">
        <v>83</v>
      </c>
      <c r="F45" s="7" t="s">
        <v>84</v>
      </c>
      <c r="G45" s="7" t="s">
        <v>103</v>
      </c>
      <c r="H45" s="7" t="s">
        <v>60</v>
      </c>
      <c r="J45" s="7">
        <v>2023</v>
      </c>
      <c r="K45" s="7" t="s">
        <v>104</v>
      </c>
      <c r="L45" s="7" t="s">
        <v>105</v>
      </c>
      <c r="M45" s="27">
        <v>1583421</v>
      </c>
      <c r="N45" s="7" t="s">
        <v>64</v>
      </c>
      <c r="O45" s="7" t="s">
        <v>65</v>
      </c>
      <c r="P45" s="7">
        <v>2</v>
      </c>
      <c r="Q45" s="7" t="s">
        <v>66</v>
      </c>
      <c r="R45" s="7" t="s">
        <v>106</v>
      </c>
      <c r="S45" s="7" t="s">
        <v>107</v>
      </c>
      <c r="T45" s="7" t="s">
        <v>108</v>
      </c>
      <c r="U45" s="7" t="s">
        <v>69</v>
      </c>
      <c r="V45" s="7" t="s">
        <v>108</v>
      </c>
      <c r="X45" s="7" t="s">
        <v>72</v>
      </c>
      <c r="Y45" s="7" t="s">
        <v>73</v>
      </c>
      <c r="Z45" s="7" t="s">
        <v>110</v>
      </c>
      <c r="AA45" s="7">
        <v>143.62095731508401</v>
      </c>
      <c r="AB45" s="7" t="s">
        <v>111</v>
      </c>
      <c r="AC45" s="7" t="s">
        <v>112</v>
      </c>
      <c r="AD45" s="7">
        <v>26</v>
      </c>
      <c r="AH45" s="7" t="s">
        <v>113</v>
      </c>
      <c r="AI45" s="7" t="s">
        <v>114</v>
      </c>
      <c r="AJ45" s="7" t="s">
        <v>115</v>
      </c>
      <c r="AK45" s="7">
        <v>1754.1451332409597</v>
      </c>
    </row>
    <row r="46" spans="1:42" s="7" customFormat="1" ht="15" customHeight="1" x14ac:dyDescent="0.3">
      <c r="A46" s="7" t="s">
        <v>152</v>
      </c>
      <c r="B46" s="7">
        <v>1</v>
      </c>
      <c r="C46" s="7" t="s">
        <v>82</v>
      </c>
      <c r="D46" s="8" t="s">
        <v>82</v>
      </c>
      <c r="E46" s="7" t="s">
        <v>83</v>
      </c>
      <c r="F46" s="7" t="s">
        <v>84</v>
      </c>
      <c r="G46" s="7" t="s">
        <v>103</v>
      </c>
      <c r="H46" s="7" t="s">
        <v>60</v>
      </c>
      <c r="J46" s="7">
        <v>2023</v>
      </c>
      <c r="K46" s="7" t="s">
        <v>104</v>
      </c>
      <c r="L46" s="7" t="s">
        <v>105</v>
      </c>
      <c r="M46" s="27">
        <v>1583421</v>
      </c>
      <c r="N46" s="7" t="s">
        <v>64</v>
      </c>
      <c r="O46" s="7" t="s">
        <v>65</v>
      </c>
      <c r="P46" s="7">
        <v>2</v>
      </c>
      <c r="Q46" s="7" t="s">
        <v>66</v>
      </c>
      <c r="R46" s="7" t="s">
        <v>106</v>
      </c>
      <c r="S46" s="7" t="s">
        <v>107</v>
      </c>
      <c r="T46" s="7" t="s">
        <v>108</v>
      </c>
      <c r="U46" s="7" t="s">
        <v>69</v>
      </c>
      <c r="V46" s="7" t="s">
        <v>108</v>
      </c>
      <c r="X46" s="7" t="s">
        <v>72</v>
      </c>
      <c r="Y46" s="7" t="s">
        <v>73</v>
      </c>
      <c r="Z46" s="7" t="s">
        <v>110</v>
      </c>
      <c r="AA46" s="7">
        <v>143.62095731508401</v>
      </c>
      <c r="AB46" s="7" t="s">
        <v>111</v>
      </c>
      <c r="AC46" s="7" t="s">
        <v>112</v>
      </c>
      <c r="AD46" s="28">
        <v>17</v>
      </c>
      <c r="AH46" s="7" t="s">
        <v>73</v>
      </c>
      <c r="AI46" s="7" t="s">
        <v>74</v>
      </c>
      <c r="AJ46" s="7" t="s">
        <v>117</v>
      </c>
      <c r="AK46" s="7">
        <v>5.4675291723273898E-3</v>
      </c>
    </row>
    <row r="47" spans="1:42" s="7" customFormat="1" ht="15" customHeight="1" x14ac:dyDescent="0.3">
      <c r="A47" s="7" t="s">
        <v>152</v>
      </c>
      <c r="B47" s="7">
        <v>1</v>
      </c>
      <c r="C47" s="7" t="s">
        <v>82</v>
      </c>
      <c r="D47" s="8" t="s">
        <v>82</v>
      </c>
      <c r="E47" s="7" t="s">
        <v>83</v>
      </c>
      <c r="F47" s="7" t="s">
        <v>84</v>
      </c>
      <c r="G47" s="7" t="s">
        <v>103</v>
      </c>
      <c r="H47" s="7" t="s">
        <v>60</v>
      </c>
      <c r="J47" s="7">
        <v>2023</v>
      </c>
      <c r="K47" s="7" t="s">
        <v>104</v>
      </c>
      <c r="L47" s="7" t="s">
        <v>105</v>
      </c>
      <c r="M47" s="27">
        <v>1583421</v>
      </c>
      <c r="N47" s="7" t="s">
        <v>64</v>
      </c>
      <c r="O47" s="7" t="s">
        <v>65</v>
      </c>
      <c r="P47" s="7">
        <v>2</v>
      </c>
      <c r="Q47" s="7" t="s">
        <v>66</v>
      </c>
      <c r="R47" s="7" t="s">
        <v>106</v>
      </c>
      <c r="S47" s="7" t="s">
        <v>107</v>
      </c>
      <c r="T47" s="7" t="s">
        <v>108</v>
      </c>
      <c r="U47" s="7" t="s">
        <v>69</v>
      </c>
      <c r="V47" s="7" t="s">
        <v>108</v>
      </c>
      <c r="X47" s="7" t="s">
        <v>72</v>
      </c>
      <c r="Y47" s="7" t="s">
        <v>73</v>
      </c>
      <c r="Z47" s="7" t="s">
        <v>110</v>
      </c>
      <c r="AA47" s="7">
        <v>143.62095731508401</v>
      </c>
      <c r="AB47" s="7" t="s">
        <v>111</v>
      </c>
      <c r="AC47" s="7" t="s">
        <v>112</v>
      </c>
      <c r="AD47" s="28">
        <v>18</v>
      </c>
      <c r="AH47" s="7" t="s">
        <v>73</v>
      </c>
      <c r="AI47" s="7" t="s">
        <v>74</v>
      </c>
      <c r="AJ47" s="7" t="s">
        <v>117</v>
      </c>
      <c r="AK47" s="7">
        <v>6.1144567118772992E-3</v>
      </c>
    </row>
    <row r="48" spans="1:42" s="7" customFormat="1" ht="15" customHeight="1" x14ac:dyDescent="0.3">
      <c r="A48" s="7" t="s">
        <v>152</v>
      </c>
      <c r="B48" s="7">
        <v>1</v>
      </c>
      <c r="C48" s="7" t="s">
        <v>82</v>
      </c>
      <c r="D48" s="8" t="s">
        <v>82</v>
      </c>
      <c r="E48" s="7" t="s">
        <v>83</v>
      </c>
      <c r="F48" s="7" t="s">
        <v>84</v>
      </c>
      <c r="G48" s="7" t="s">
        <v>103</v>
      </c>
      <c r="H48" s="7" t="s">
        <v>60</v>
      </c>
      <c r="J48" s="7">
        <v>2023</v>
      </c>
      <c r="K48" s="7" t="s">
        <v>104</v>
      </c>
      <c r="L48" s="7" t="s">
        <v>105</v>
      </c>
      <c r="M48" s="27">
        <v>1583421</v>
      </c>
      <c r="N48" s="7" t="s">
        <v>64</v>
      </c>
      <c r="O48" s="7" t="s">
        <v>65</v>
      </c>
      <c r="P48" s="7">
        <v>2</v>
      </c>
      <c r="Q48" s="7" t="s">
        <v>66</v>
      </c>
      <c r="R48" s="7" t="s">
        <v>106</v>
      </c>
      <c r="S48" s="7" t="s">
        <v>107</v>
      </c>
      <c r="T48" s="7" t="s">
        <v>108</v>
      </c>
      <c r="U48" s="7" t="s">
        <v>69</v>
      </c>
      <c r="V48" s="7" t="s">
        <v>108</v>
      </c>
      <c r="X48" s="7" t="s">
        <v>72</v>
      </c>
      <c r="Y48" s="7" t="s">
        <v>73</v>
      </c>
      <c r="Z48" s="7" t="s">
        <v>110</v>
      </c>
      <c r="AA48" s="7">
        <v>143.62095731508401</v>
      </c>
      <c r="AB48" s="7" t="s">
        <v>111</v>
      </c>
      <c r="AC48" s="7" t="s">
        <v>112</v>
      </c>
      <c r="AD48" s="28">
        <v>19</v>
      </c>
      <c r="AH48" s="7" t="s">
        <v>73</v>
      </c>
      <c r="AI48" s="7" t="s">
        <v>74</v>
      </c>
      <c r="AJ48" s="7" t="s">
        <v>117</v>
      </c>
      <c r="AK48" s="7">
        <v>6.9160162542765101E-3</v>
      </c>
    </row>
    <row r="49" spans="1:47" s="7" customFormat="1" ht="15" customHeight="1" x14ac:dyDescent="0.3">
      <c r="A49" s="7" t="s">
        <v>152</v>
      </c>
      <c r="B49" s="7">
        <v>1</v>
      </c>
      <c r="C49" s="7" t="s">
        <v>82</v>
      </c>
      <c r="D49" s="8" t="s">
        <v>82</v>
      </c>
      <c r="E49" s="7" t="s">
        <v>83</v>
      </c>
      <c r="F49" s="7" t="s">
        <v>84</v>
      </c>
      <c r="G49" s="7" t="s">
        <v>103</v>
      </c>
      <c r="H49" s="7" t="s">
        <v>60</v>
      </c>
      <c r="J49" s="7">
        <v>2023</v>
      </c>
      <c r="K49" s="7" t="s">
        <v>104</v>
      </c>
      <c r="L49" s="7" t="s">
        <v>105</v>
      </c>
      <c r="M49" s="27">
        <v>1583421</v>
      </c>
      <c r="N49" s="7" t="s">
        <v>64</v>
      </c>
      <c r="O49" s="7" t="s">
        <v>65</v>
      </c>
      <c r="P49" s="7">
        <v>2</v>
      </c>
      <c r="Q49" s="7" t="s">
        <v>66</v>
      </c>
      <c r="R49" s="7" t="s">
        <v>106</v>
      </c>
      <c r="S49" s="7" t="s">
        <v>107</v>
      </c>
      <c r="T49" s="7" t="s">
        <v>108</v>
      </c>
      <c r="U49" s="7" t="s">
        <v>69</v>
      </c>
      <c r="V49" s="7" t="s">
        <v>108</v>
      </c>
      <c r="X49" s="7" t="s">
        <v>72</v>
      </c>
      <c r="Y49" s="7" t="s">
        <v>73</v>
      </c>
      <c r="Z49" s="7" t="s">
        <v>110</v>
      </c>
      <c r="AA49" s="7">
        <v>143.62095731508401</v>
      </c>
      <c r="AB49" s="7" t="s">
        <v>111</v>
      </c>
      <c r="AC49" s="7" t="s">
        <v>112</v>
      </c>
      <c r="AD49" s="7">
        <v>20</v>
      </c>
      <c r="AH49" s="7" t="s">
        <v>73</v>
      </c>
      <c r="AI49" s="7" t="s">
        <v>74</v>
      </c>
      <c r="AJ49" s="7" t="s">
        <v>117</v>
      </c>
      <c r="AK49" s="7">
        <v>7.4743746738224134E-3</v>
      </c>
    </row>
    <row r="50" spans="1:47" s="7" customFormat="1" ht="15" customHeight="1" x14ac:dyDescent="0.3">
      <c r="A50" s="7" t="s">
        <v>152</v>
      </c>
      <c r="B50" s="7">
        <v>1</v>
      </c>
      <c r="C50" s="7" t="s">
        <v>82</v>
      </c>
      <c r="D50" s="8" t="s">
        <v>82</v>
      </c>
      <c r="E50" s="7" t="s">
        <v>83</v>
      </c>
      <c r="F50" s="7" t="s">
        <v>84</v>
      </c>
      <c r="G50" s="7" t="s">
        <v>103</v>
      </c>
      <c r="H50" s="7" t="s">
        <v>60</v>
      </c>
      <c r="J50" s="7">
        <v>2023</v>
      </c>
      <c r="K50" s="7" t="s">
        <v>104</v>
      </c>
      <c r="L50" s="7" t="s">
        <v>105</v>
      </c>
      <c r="M50" s="27">
        <v>1583421</v>
      </c>
      <c r="N50" s="7" t="s">
        <v>64</v>
      </c>
      <c r="O50" s="7" t="s">
        <v>65</v>
      </c>
      <c r="P50" s="7">
        <v>2</v>
      </c>
      <c r="Q50" s="7" t="s">
        <v>66</v>
      </c>
      <c r="R50" s="7" t="s">
        <v>106</v>
      </c>
      <c r="S50" s="7" t="s">
        <v>107</v>
      </c>
      <c r="T50" s="7" t="s">
        <v>108</v>
      </c>
      <c r="U50" s="7" t="s">
        <v>69</v>
      </c>
      <c r="V50" s="7" t="s">
        <v>108</v>
      </c>
      <c r="X50" s="7" t="s">
        <v>72</v>
      </c>
      <c r="Y50" s="7" t="s">
        <v>73</v>
      </c>
      <c r="Z50" s="7" t="s">
        <v>110</v>
      </c>
      <c r="AA50" s="7">
        <v>143.62095731508401</v>
      </c>
      <c r="AB50" s="7" t="s">
        <v>111</v>
      </c>
      <c r="AC50" s="7" t="s">
        <v>112</v>
      </c>
      <c r="AD50" s="7">
        <v>21</v>
      </c>
      <c r="AH50" s="7" t="s">
        <v>73</v>
      </c>
      <c r="AI50" s="7" t="s">
        <v>74</v>
      </c>
      <c r="AJ50" s="7" t="s">
        <v>117</v>
      </c>
      <c r="AK50" s="7">
        <v>8.3492896233372631E-3</v>
      </c>
    </row>
    <row r="51" spans="1:47" s="7" customFormat="1" ht="15" customHeight="1" x14ac:dyDescent="0.3">
      <c r="A51" s="7" t="s">
        <v>152</v>
      </c>
      <c r="B51" s="7">
        <v>1</v>
      </c>
      <c r="C51" s="7" t="s">
        <v>82</v>
      </c>
      <c r="D51" s="8" t="s">
        <v>82</v>
      </c>
      <c r="E51" s="7" t="s">
        <v>83</v>
      </c>
      <c r="F51" s="7" t="s">
        <v>84</v>
      </c>
      <c r="G51" s="7" t="s">
        <v>103</v>
      </c>
      <c r="H51" s="7" t="s">
        <v>60</v>
      </c>
      <c r="J51" s="7">
        <v>2023</v>
      </c>
      <c r="K51" s="7" t="s">
        <v>104</v>
      </c>
      <c r="L51" s="7" t="s">
        <v>105</v>
      </c>
      <c r="M51" s="27">
        <v>1583421</v>
      </c>
      <c r="N51" s="7" t="s">
        <v>64</v>
      </c>
      <c r="O51" s="7" t="s">
        <v>65</v>
      </c>
      <c r="P51" s="7">
        <v>2</v>
      </c>
      <c r="Q51" s="7" t="s">
        <v>66</v>
      </c>
      <c r="R51" s="7" t="s">
        <v>106</v>
      </c>
      <c r="S51" s="7" t="s">
        <v>107</v>
      </c>
      <c r="T51" s="7" t="s">
        <v>108</v>
      </c>
      <c r="U51" s="7" t="s">
        <v>69</v>
      </c>
      <c r="V51" s="7" t="s">
        <v>108</v>
      </c>
      <c r="X51" s="7" t="s">
        <v>72</v>
      </c>
      <c r="Y51" s="7" t="s">
        <v>73</v>
      </c>
      <c r="Z51" s="7" t="s">
        <v>110</v>
      </c>
      <c r="AA51" s="7">
        <v>143.62095731508401</v>
      </c>
      <c r="AB51" s="7" t="s">
        <v>111</v>
      </c>
      <c r="AC51" s="7" t="s">
        <v>112</v>
      </c>
      <c r="AD51" s="7">
        <v>22</v>
      </c>
      <c r="AH51" s="7" t="s">
        <v>73</v>
      </c>
      <c r="AI51" s="7" t="s">
        <v>74</v>
      </c>
      <c r="AJ51" s="7" t="s">
        <v>117</v>
      </c>
      <c r="AK51" s="7">
        <v>9.8292469555517105E-3</v>
      </c>
    </row>
    <row r="52" spans="1:47" s="7" customFormat="1" ht="15" customHeight="1" x14ac:dyDescent="0.3">
      <c r="A52" s="7" t="s">
        <v>152</v>
      </c>
      <c r="B52" s="7">
        <v>1</v>
      </c>
      <c r="C52" s="7" t="s">
        <v>82</v>
      </c>
      <c r="D52" s="8" t="s">
        <v>82</v>
      </c>
      <c r="E52" s="7" t="s">
        <v>83</v>
      </c>
      <c r="F52" s="7" t="s">
        <v>84</v>
      </c>
      <c r="G52" s="7" t="s">
        <v>103</v>
      </c>
      <c r="H52" s="7" t="s">
        <v>60</v>
      </c>
      <c r="J52" s="7">
        <v>2023</v>
      </c>
      <c r="K52" s="7" t="s">
        <v>104</v>
      </c>
      <c r="L52" s="7" t="s">
        <v>105</v>
      </c>
      <c r="M52" s="27">
        <v>1583421</v>
      </c>
      <c r="N52" s="7" t="s">
        <v>64</v>
      </c>
      <c r="O52" s="7" t="s">
        <v>65</v>
      </c>
      <c r="P52" s="7">
        <v>2</v>
      </c>
      <c r="Q52" s="7" t="s">
        <v>66</v>
      </c>
      <c r="R52" s="7" t="s">
        <v>106</v>
      </c>
      <c r="S52" s="7" t="s">
        <v>107</v>
      </c>
      <c r="T52" s="7" t="s">
        <v>108</v>
      </c>
      <c r="U52" s="7" t="s">
        <v>69</v>
      </c>
      <c r="V52" s="7" t="s">
        <v>108</v>
      </c>
      <c r="X52" s="7" t="s">
        <v>72</v>
      </c>
      <c r="Y52" s="7" t="s">
        <v>73</v>
      </c>
      <c r="Z52" s="7" t="s">
        <v>110</v>
      </c>
      <c r="AA52" s="7">
        <v>143.62095731508401</v>
      </c>
      <c r="AB52" s="7" t="s">
        <v>111</v>
      </c>
      <c r="AC52" s="7" t="s">
        <v>112</v>
      </c>
      <c r="AD52" s="7">
        <v>23</v>
      </c>
      <c r="AH52" s="7" t="s">
        <v>73</v>
      </c>
      <c r="AI52" s="7" t="s">
        <v>74</v>
      </c>
      <c r="AJ52" s="7" t="s">
        <v>117</v>
      </c>
      <c r="AK52" s="7">
        <v>9.9092977904625713E-3</v>
      </c>
    </row>
    <row r="53" spans="1:47" s="7" customFormat="1" ht="15" customHeight="1" x14ac:dyDescent="0.3">
      <c r="A53" s="7" t="s">
        <v>152</v>
      </c>
      <c r="B53" s="7">
        <v>1</v>
      </c>
      <c r="C53" s="7" t="s">
        <v>82</v>
      </c>
      <c r="D53" s="8" t="s">
        <v>82</v>
      </c>
      <c r="E53" s="7" t="s">
        <v>83</v>
      </c>
      <c r="F53" s="7" t="s">
        <v>84</v>
      </c>
      <c r="G53" s="7" t="s">
        <v>103</v>
      </c>
      <c r="H53" s="7" t="s">
        <v>60</v>
      </c>
      <c r="J53" s="7">
        <v>2023</v>
      </c>
      <c r="K53" s="7" t="s">
        <v>104</v>
      </c>
      <c r="L53" s="7" t="s">
        <v>105</v>
      </c>
      <c r="M53" s="27">
        <v>1583421</v>
      </c>
      <c r="N53" s="7" t="s">
        <v>64</v>
      </c>
      <c r="O53" s="7" t="s">
        <v>65</v>
      </c>
      <c r="P53" s="7">
        <v>2</v>
      </c>
      <c r="Q53" s="7" t="s">
        <v>66</v>
      </c>
      <c r="R53" s="7" t="s">
        <v>106</v>
      </c>
      <c r="S53" s="7" t="s">
        <v>107</v>
      </c>
      <c r="T53" s="7" t="s">
        <v>108</v>
      </c>
      <c r="U53" s="7" t="s">
        <v>69</v>
      </c>
      <c r="V53" s="7" t="s">
        <v>108</v>
      </c>
      <c r="X53" s="7" t="s">
        <v>72</v>
      </c>
      <c r="Y53" s="7" t="s">
        <v>73</v>
      </c>
      <c r="Z53" s="7" t="s">
        <v>110</v>
      </c>
      <c r="AA53" s="7">
        <v>143.62095731508401</v>
      </c>
      <c r="AB53" s="7" t="s">
        <v>111</v>
      </c>
      <c r="AC53" s="7" t="s">
        <v>112</v>
      </c>
      <c r="AD53" s="7">
        <v>24</v>
      </c>
      <c r="AH53" s="7" t="s">
        <v>73</v>
      </c>
      <c r="AI53" s="7" t="s">
        <v>74</v>
      </c>
      <c r="AJ53" s="7" t="s">
        <v>117</v>
      </c>
      <c r="AK53" s="7">
        <v>1.0067005278472849E-2</v>
      </c>
    </row>
    <row r="54" spans="1:47" s="7" customFormat="1" ht="15" customHeight="1" x14ac:dyDescent="0.3">
      <c r="A54" s="7" t="s">
        <v>152</v>
      </c>
      <c r="B54" s="7">
        <v>1</v>
      </c>
      <c r="C54" s="7" t="s">
        <v>82</v>
      </c>
      <c r="D54" s="8" t="s">
        <v>82</v>
      </c>
      <c r="E54" s="7" t="s">
        <v>83</v>
      </c>
      <c r="F54" s="7" t="s">
        <v>84</v>
      </c>
      <c r="G54" s="7" t="s">
        <v>103</v>
      </c>
      <c r="H54" s="7" t="s">
        <v>60</v>
      </c>
      <c r="J54" s="7">
        <v>2023</v>
      </c>
      <c r="K54" s="7" t="s">
        <v>104</v>
      </c>
      <c r="L54" s="7" t="s">
        <v>105</v>
      </c>
      <c r="M54" s="27">
        <v>1583421</v>
      </c>
      <c r="N54" s="7" t="s">
        <v>64</v>
      </c>
      <c r="O54" s="7" t="s">
        <v>65</v>
      </c>
      <c r="P54" s="7">
        <v>2</v>
      </c>
      <c r="Q54" s="7" t="s">
        <v>66</v>
      </c>
      <c r="R54" s="7" t="s">
        <v>106</v>
      </c>
      <c r="S54" s="7" t="s">
        <v>107</v>
      </c>
      <c r="T54" s="7" t="s">
        <v>108</v>
      </c>
      <c r="U54" s="7" t="s">
        <v>69</v>
      </c>
      <c r="V54" s="7" t="s">
        <v>108</v>
      </c>
      <c r="X54" s="7" t="s">
        <v>72</v>
      </c>
      <c r="Y54" s="7" t="s">
        <v>73</v>
      </c>
      <c r="Z54" s="7" t="s">
        <v>110</v>
      </c>
      <c r="AA54" s="7">
        <v>143.62095731508401</v>
      </c>
      <c r="AB54" s="7" t="s">
        <v>111</v>
      </c>
      <c r="AC54" s="7" t="s">
        <v>112</v>
      </c>
      <c r="AD54" s="7">
        <v>25</v>
      </c>
      <c r="AH54" s="7" t="s">
        <v>73</v>
      </c>
      <c r="AI54" s="7" t="s">
        <v>74</v>
      </c>
      <c r="AJ54" s="7" t="s">
        <v>117</v>
      </c>
      <c r="AK54" s="7">
        <v>1.0837442061400008E-2</v>
      </c>
    </row>
    <row r="55" spans="1:47" s="7" customFormat="1" ht="15" customHeight="1" x14ac:dyDescent="0.3">
      <c r="A55" s="7" t="s">
        <v>152</v>
      </c>
      <c r="B55" s="7">
        <v>1</v>
      </c>
      <c r="C55" s="7" t="s">
        <v>82</v>
      </c>
      <c r="D55" s="8" t="s">
        <v>82</v>
      </c>
      <c r="E55" s="7" t="s">
        <v>83</v>
      </c>
      <c r="F55" s="7" t="s">
        <v>84</v>
      </c>
      <c r="G55" s="7" t="s">
        <v>103</v>
      </c>
      <c r="H55" s="7" t="s">
        <v>60</v>
      </c>
      <c r="J55" s="7">
        <v>2023</v>
      </c>
      <c r="K55" s="7" t="s">
        <v>104</v>
      </c>
      <c r="L55" s="7" t="s">
        <v>105</v>
      </c>
      <c r="M55" s="27">
        <v>1583421</v>
      </c>
      <c r="N55" s="7" t="s">
        <v>64</v>
      </c>
      <c r="O55" s="7" t="s">
        <v>65</v>
      </c>
      <c r="P55" s="7">
        <v>2</v>
      </c>
      <c r="Q55" s="7" t="s">
        <v>66</v>
      </c>
      <c r="R55" s="7" t="s">
        <v>106</v>
      </c>
      <c r="S55" s="7" t="s">
        <v>107</v>
      </c>
      <c r="T55" s="7" t="s">
        <v>108</v>
      </c>
      <c r="U55" s="7" t="s">
        <v>69</v>
      </c>
      <c r="V55" s="7" t="s">
        <v>108</v>
      </c>
      <c r="X55" s="7" t="s">
        <v>72</v>
      </c>
      <c r="Y55" s="7" t="s">
        <v>73</v>
      </c>
      <c r="Z55" s="7" t="s">
        <v>110</v>
      </c>
      <c r="AA55" s="7">
        <v>143.62095731508401</v>
      </c>
      <c r="AB55" s="7" t="s">
        <v>111</v>
      </c>
      <c r="AC55" s="7" t="s">
        <v>112</v>
      </c>
      <c r="AD55" s="7">
        <v>26</v>
      </c>
      <c r="AH55" s="7" t="s">
        <v>73</v>
      </c>
      <c r="AI55" s="7" t="s">
        <v>74</v>
      </c>
      <c r="AJ55" s="7" t="s">
        <v>117</v>
      </c>
      <c r="AK55" s="7">
        <v>1.1376457318411526E-2</v>
      </c>
    </row>
    <row r="58" spans="1:47" ht="15" customHeight="1" x14ac:dyDescent="0.3">
      <c r="A58" s="2" t="s">
        <v>24</v>
      </c>
      <c r="B58" s="2" t="s">
        <v>25</v>
      </c>
      <c r="C58" s="2" t="s">
        <v>142</v>
      </c>
      <c r="D58" s="2" t="s">
        <v>138</v>
      </c>
      <c r="E58" s="2" t="s">
        <v>141</v>
      </c>
      <c r="F58" s="2" t="s">
        <v>26</v>
      </c>
      <c r="G58" s="2" t="s">
        <v>27</v>
      </c>
      <c r="H58" s="2" t="s">
        <v>28</v>
      </c>
      <c r="I58" s="2" t="s">
        <v>29</v>
      </c>
      <c r="J58" s="2" t="s">
        <v>30</v>
      </c>
      <c r="K58" s="2" t="s">
        <v>144</v>
      </c>
      <c r="L58" s="2" t="s">
        <v>31</v>
      </c>
      <c r="M58" s="2" t="s">
        <v>32</v>
      </c>
      <c r="N58" s="2" t="s">
        <v>33</v>
      </c>
      <c r="O58" s="2" t="s">
        <v>34</v>
      </c>
      <c r="P58" s="2" t="s">
        <v>35</v>
      </c>
      <c r="Q58" s="2" t="s">
        <v>36</v>
      </c>
      <c r="R58" s="2" t="s">
        <v>37</v>
      </c>
      <c r="S58" s="2" t="s">
        <v>38</v>
      </c>
      <c r="T58" s="2" t="s">
        <v>39</v>
      </c>
      <c r="U58" s="2" t="s">
        <v>40</v>
      </c>
      <c r="V58" s="2" t="s">
        <v>41</v>
      </c>
      <c r="W58" s="2" t="s">
        <v>42</v>
      </c>
      <c r="X58" s="2" t="s">
        <v>59</v>
      </c>
      <c r="Y58" s="2" t="s">
        <v>45</v>
      </c>
      <c r="Z58" s="2" t="s">
        <v>145</v>
      </c>
      <c r="AA58" s="2" t="s">
        <v>146</v>
      </c>
      <c r="AB58" s="2" t="s">
        <v>48</v>
      </c>
      <c r="AC58" s="2" t="s">
        <v>94</v>
      </c>
      <c r="AD58" s="2" t="s">
        <v>95</v>
      </c>
      <c r="AE58" s="2" t="s">
        <v>96</v>
      </c>
      <c r="AF58" s="2" t="s">
        <v>97</v>
      </c>
      <c r="AG58" s="2" t="s">
        <v>98</v>
      </c>
      <c r="AH58" s="2" t="s">
        <v>99</v>
      </c>
      <c r="AI58" s="2" t="s">
        <v>147</v>
      </c>
      <c r="AJ58" s="2" t="s">
        <v>148</v>
      </c>
      <c r="AK58" s="2" t="s">
        <v>100</v>
      </c>
      <c r="AL58" s="2" t="s">
        <v>101</v>
      </c>
      <c r="AM58" s="2" t="s">
        <v>49</v>
      </c>
      <c r="AN58" s="2" t="s">
        <v>50</v>
      </c>
      <c r="AO58" s="2" t="s">
        <v>51</v>
      </c>
      <c r="AP58" s="2" t="s">
        <v>52</v>
      </c>
      <c r="AQ58" s="2" t="s">
        <v>102</v>
      </c>
      <c r="AR58" s="31" t="s">
        <v>54</v>
      </c>
      <c r="AS58" s="31" t="s">
        <v>55</v>
      </c>
      <c r="AT58" s="31" t="s">
        <v>56</v>
      </c>
      <c r="AU58" s="30" t="s">
        <v>53</v>
      </c>
    </row>
    <row r="59" spans="1:47" s="7" customFormat="1" ht="15" customHeight="1" x14ac:dyDescent="0.3">
      <c r="A59" s="7" t="s">
        <v>153</v>
      </c>
      <c r="B59" s="7">
        <v>1</v>
      </c>
      <c r="C59" s="7" t="s">
        <v>82</v>
      </c>
      <c r="D59" s="8" t="s">
        <v>82</v>
      </c>
      <c r="E59" s="7" t="s">
        <v>83</v>
      </c>
      <c r="G59" s="7" t="s">
        <v>103</v>
      </c>
      <c r="H59" s="7" t="s">
        <v>60</v>
      </c>
      <c r="J59" s="7">
        <v>2023</v>
      </c>
      <c r="K59" s="7">
        <v>2023</v>
      </c>
      <c r="L59" s="7" t="s">
        <v>104</v>
      </c>
      <c r="M59" s="7" t="s">
        <v>105</v>
      </c>
      <c r="N59" s="27">
        <v>1583421</v>
      </c>
      <c r="O59" s="7" t="s">
        <v>64</v>
      </c>
      <c r="P59" s="7" t="s">
        <v>65</v>
      </c>
      <c r="Q59" s="7">
        <v>1</v>
      </c>
      <c r="R59" s="7" t="s">
        <v>66</v>
      </c>
      <c r="S59" s="7" t="s">
        <v>106</v>
      </c>
      <c r="T59" s="7" t="s">
        <v>107</v>
      </c>
      <c r="U59" s="7" t="s">
        <v>108</v>
      </c>
      <c r="V59" s="7" t="s">
        <v>69</v>
      </c>
      <c r="W59" s="7" t="s">
        <v>108</v>
      </c>
      <c r="X59" s="7" t="s">
        <v>109</v>
      </c>
      <c r="Y59" s="7" t="s">
        <v>72</v>
      </c>
      <c r="Z59" s="7" t="s">
        <v>73</v>
      </c>
      <c r="AA59" s="7" t="s">
        <v>110</v>
      </c>
      <c r="AB59" s="7">
        <v>17.618707181469951</v>
      </c>
      <c r="AC59" s="7" t="s">
        <v>111</v>
      </c>
      <c r="AD59" s="7" t="s">
        <v>112</v>
      </c>
      <c r="AE59" s="7">
        <v>20</v>
      </c>
      <c r="AI59" s="7" t="s">
        <v>113</v>
      </c>
      <c r="AJ59" s="7" t="s">
        <v>114</v>
      </c>
      <c r="AK59" s="7" t="s">
        <v>115</v>
      </c>
      <c r="AL59" s="7">
        <v>66.419291612678506</v>
      </c>
      <c r="AN59" s="7" t="s">
        <v>116</v>
      </c>
      <c r="AO59" s="7">
        <v>2</v>
      </c>
      <c r="AP59" s="7">
        <v>2</v>
      </c>
      <c r="AQ59" s="29">
        <v>7</v>
      </c>
      <c r="AR59" s="7" t="s">
        <v>64</v>
      </c>
      <c r="AS59" s="7" t="s">
        <v>113</v>
      </c>
      <c r="AT59" s="7" t="s">
        <v>91</v>
      </c>
    </row>
    <row r="60" spans="1:47" s="7" customFormat="1" ht="15" customHeight="1" x14ac:dyDescent="0.3">
      <c r="A60" s="7" t="s">
        <v>153</v>
      </c>
      <c r="B60" s="7">
        <v>1</v>
      </c>
      <c r="C60" s="7" t="s">
        <v>82</v>
      </c>
      <c r="D60" s="8" t="s">
        <v>82</v>
      </c>
      <c r="E60" s="7" t="s">
        <v>83</v>
      </c>
      <c r="G60" s="7" t="s">
        <v>103</v>
      </c>
      <c r="H60" s="7" t="s">
        <v>60</v>
      </c>
      <c r="J60" s="7">
        <v>2023</v>
      </c>
      <c r="K60" s="7">
        <v>2023</v>
      </c>
      <c r="L60" s="7" t="s">
        <v>104</v>
      </c>
      <c r="M60" s="7" t="s">
        <v>105</v>
      </c>
      <c r="N60" s="27">
        <v>1583421</v>
      </c>
      <c r="O60" s="7" t="s">
        <v>64</v>
      </c>
      <c r="P60" s="7" t="s">
        <v>65</v>
      </c>
      <c r="Q60" s="7">
        <v>1</v>
      </c>
      <c r="R60" s="7" t="s">
        <v>66</v>
      </c>
      <c r="S60" s="7" t="s">
        <v>106</v>
      </c>
      <c r="T60" s="7" t="s">
        <v>107</v>
      </c>
      <c r="U60" s="7" t="s">
        <v>108</v>
      </c>
      <c r="V60" s="7" t="s">
        <v>69</v>
      </c>
      <c r="W60" s="7" t="s">
        <v>108</v>
      </c>
      <c r="X60" s="7" t="s">
        <v>109</v>
      </c>
      <c r="Y60" s="7" t="s">
        <v>72</v>
      </c>
      <c r="Z60" s="7" t="s">
        <v>73</v>
      </c>
      <c r="AA60" s="7" t="s">
        <v>110</v>
      </c>
      <c r="AB60" s="7">
        <v>17.618707181469951</v>
      </c>
      <c r="AC60" s="7" t="s">
        <v>111</v>
      </c>
      <c r="AD60" s="7" t="s">
        <v>112</v>
      </c>
      <c r="AE60" s="7">
        <v>21</v>
      </c>
      <c r="AI60" s="7" t="s">
        <v>113</v>
      </c>
      <c r="AJ60" s="7" t="s">
        <v>114</v>
      </c>
      <c r="AK60" s="7" t="s">
        <v>115</v>
      </c>
      <c r="AL60" s="7">
        <v>97.061159346958206</v>
      </c>
      <c r="AN60" s="7" t="s">
        <v>116</v>
      </c>
      <c r="AO60" s="7">
        <v>2</v>
      </c>
      <c r="AP60" s="7">
        <v>2</v>
      </c>
      <c r="AQ60" s="29">
        <v>10</v>
      </c>
      <c r="AR60" s="7" t="s">
        <v>64</v>
      </c>
      <c r="AS60" s="7" t="s">
        <v>113</v>
      </c>
      <c r="AT60" s="7" t="s">
        <v>91</v>
      </c>
    </row>
    <row r="61" spans="1:47" s="7" customFormat="1" ht="15" customHeight="1" x14ac:dyDescent="0.3">
      <c r="A61" s="7" t="s">
        <v>153</v>
      </c>
      <c r="B61" s="7">
        <v>1</v>
      </c>
      <c r="C61" s="7" t="s">
        <v>82</v>
      </c>
      <c r="D61" s="8" t="s">
        <v>82</v>
      </c>
      <c r="E61" s="7" t="s">
        <v>83</v>
      </c>
      <c r="G61" s="7" t="s">
        <v>103</v>
      </c>
      <c r="H61" s="7" t="s">
        <v>60</v>
      </c>
      <c r="J61" s="7">
        <v>2023</v>
      </c>
      <c r="K61" s="7">
        <v>2023</v>
      </c>
      <c r="L61" s="7" t="s">
        <v>104</v>
      </c>
      <c r="M61" s="7" t="s">
        <v>105</v>
      </c>
      <c r="N61" s="27">
        <v>1583421</v>
      </c>
      <c r="O61" s="7" t="s">
        <v>64</v>
      </c>
      <c r="P61" s="7" t="s">
        <v>65</v>
      </c>
      <c r="Q61" s="7">
        <v>1</v>
      </c>
      <c r="R61" s="7" t="s">
        <v>66</v>
      </c>
      <c r="S61" s="7" t="s">
        <v>106</v>
      </c>
      <c r="T61" s="7" t="s">
        <v>107</v>
      </c>
      <c r="U61" s="7" t="s">
        <v>108</v>
      </c>
      <c r="V61" s="7" t="s">
        <v>69</v>
      </c>
      <c r="W61" s="7" t="s">
        <v>108</v>
      </c>
      <c r="X61" s="7" t="s">
        <v>109</v>
      </c>
      <c r="Y61" s="7" t="s">
        <v>72</v>
      </c>
      <c r="Z61" s="7" t="s">
        <v>73</v>
      </c>
      <c r="AA61" s="7" t="s">
        <v>110</v>
      </c>
      <c r="AB61" s="7">
        <v>17.618707181469951</v>
      </c>
      <c r="AC61" s="7" t="s">
        <v>111</v>
      </c>
      <c r="AD61" s="7" t="s">
        <v>112</v>
      </c>
      <c r="AE61" s="7">
        <v>22</v>
      </c>
      <c r="AI61" s="7" t="s">
        <v>113</v>
      </c>
      <c r="AJ61" s="7" t="s">
        <v>114</v>
      </c>
      <c r="AK61" s="7" t="s">
        <v>115</v>
      </c>
      <c r="AL61" s="7">
        <v>31.109037281028701</v>
      </c>
      <c r="AN61" s="7" t="s">
        <v>116</v>
      </c>
      <c r="AO61" s="7">
        <v>2</v>
      </c>
      <c r="AP61" s="7">
        <v>2</v>
      </c>
      <c r="AQ61" s="29">
        <v>3</v>
      </c>
      <c r="AR61" s="7" t="s">
        <v>64</v>
      </c>
      <c r="AS61" s="7" t="s">
        <v>113</v>
      </c>
      <c r="AT61" s="7" t="s">
        <v>91</v>
      </c>
    </row>
    <row r="62" spans="1:47" s="7" customFormat="1" ht="15" customHeight="1" x14ac:dyDescent="0.3">
      <c r="A62" s="7" t="s">
        <v>153</v>
      </c>
      <c r="B62" s="7">
        <v>1</v>
      </c>
      <c r="C62" s="7" t="s">
        <v>82</v>
      </c>
      <c r="D62" s="8" t="s">
        <v>82</v>
      </c>
      <c r="E62" s="7" t="s">
        <v>83</v>
      </c>
      <c r="G62" s="7" t="s">
        <v>103</v>
      </c>
      <c r="H62" s="7" t="s">
        <v>60</v>
      </c>
      <c r="J62" s="7">
        <v>2023</v>
      </c>
      <c r="K62" s="7">
        <v>2023</v>
      </c>
      <c r="L62" s="7" t="s">
        <v>104</v>
      </c>
      <c r="M62" s="7" t="s">
        <v>105</v>
      </c>
      <c r="N62" s="27">
        <v>1583421</v>
      </c>
      <c r="O62" s="7" t="s">
        <v>64</v>
      </c>
      <c r="P62" s="7" t="s">
        <v>65</v>
      </c>
      <c r="Q62" s="7">
        <v>1</v>
      </c>
      <c r="R62" s="7" t="s">
        <v>66</v>
      </c>
      <c r="S62" s="7" t="s">
        <v>106</v>
      </c>
      <c r="T62" s="7" t="s">
        <v>107</v>
      </c>
      <c r="U62" s="7" t="s">
        <v>108</v>
      </c>
      <c r="V62" s="7" t="s">
        <v>69</v>
      </c>
      <c r="W62" s="7" t="s">
        <v>108</v>
      </c>
      <c r="X62" s="7" t="s">
        <v>109</v>
      </c>
      <c r="Y62" s="7" t="s">
        <v>72</v>
      </c>
      <c r="Z62" s="7" t="s">
        <v>73</v>
      </c>
      <c r="AA62" s="7" t="s">
        <v>110</v>
      </c>
      <c r="AB62" s="7">
        <v>17.618707181469951</v>
      </c>
      <c r="AC62" s="7" t="s">
        <v>111</v>
      </c>
      <c r="AD62" s="7" t="s">
        <v>112</v>
      </c>
      <c r="AE62" s="7">
        <v>23</v>
      </c>
      <c r="AI62" s="7" t="s">
        <v>113</v>
      </c>
      <c r="AJ62" s="7" t="s">
        <v>114</v>
      </c>
      <c r="AK62" s="7" t="s">
        <v>115</v>
      </c>
      <c r="AL62" s="7">
        <v>294.43272416422002</v>
      </c>
      <c r="AN62" s="7" t="s">
        <v>116</v>
      </c>
      <c r="AO62" s="7">
        <v>2</v>
      </c>
      <c r="AP62" s="7">
        <v>2</v>
      </c>
      <c r="AQ62" s="29">
        <v>29</v>
      </c>
      <c r="AR62" s="7" t="s">
        <v>64</v>
      </c>
      <c r="AS62" s="7" t="s">
        <v>113</v>
      </c>
      <c r="AT62" s="7" t="s">
        <v>91</v>
      </c>
    </row>
    <row r="63" spans="1:47" s="7" customFormat="1" ht="15" customHeight="1" x14ac:dyDescent="0.3">
      <c r="A63" s="7" t="s">
        <v>153</v>
      </c>
      <c r="B63" s="7">
        <v>1</v>
      </c>
      <c r="C63" s="7" t="s">
        <v>82</v>
      </c>
      <c r="D63" s="8" t="s">
        <v>82</v>
      </c>
      <c r="E63" s="7" t="s">
        <v>83</v>
      </c>
      <c r="G63" s="7" t="s">
        <v>103</v>
      </c>
      <c r="H63" s="7" t="s">
        <v>60</v>
      </c>
      <c r="J63" s="7">
        <v>2023</v>
      </c>
      <c r="K63" s="7">
        <v>2023</v>
      </c>
      <c r="L63" s="7" t="s">
        <v>104</v>
      </c>
      <c r="M63" s="7" t="s">
        <v>105</v>
      </c>
      <c r="N63" s="27">
        <v>1583421</v>
      </c>
      <c r="O63" s="7" t="s">
        <v>64</v>
      </c>
      <c r="P63" s="7" t="s">
        <v>65</v>
      </c>
      <c r="Q63" s="7">
        <v>1</v>
      </c>
      <c r="R63" s="7" t="s">
        <v>66</v>
      </c>
      <c r="S63" s="7" t="s">
        <v>106</v>
      </c>
      <c r="T63" s="7" t="s">
        <v>107</v>
      </c>
      <c r="U63" s="7" t="s">
        <v>108</v>
      </c>
      <c r="V63" s="7" t="s">
        <v>69</v>
      </c>
      <c r="W63" s="7" t="s">
        <v>108</v>
      </c>
      <c r="X63" s="7" t="s">
        <v>109</v>
      </c>
      <c r="Y63" s="7" t="s">
        <v>72</v>
      </c>
      <c r="Z63" s="7" t="s">
        <v>73</v>
      </c>
      <c r="AA63" s="7" t="s">
        <v>110</v>
      </c>
      <c r="AB63" s="7">
        <v>17.618707181469951</v>
      </c>
      <c r="AC63" s="7" t="s">
        <v>111</v>
      </c>
      <c r="AD63" s="7" t="s">
        <v>112</v>
      </c>
      <c r="AE63" s="7">
        <v>24</v>
      </c>
      <c r="AI63" s="7" t="s">
        <v>113</v>
      </c>
      <c r="AJ63" s="7" t="s">
        <v>114</v>
      </c>
      <c r="AK63" s="7" t="s">
        <v>115</v>
      </c>
      <c r="AL63" s="7">
        <v>437.30124909118098</v>
      </c>
      <c r="AN63" s="7" t="s">
        <v>116</v>
      </c>
      <c r="AO63" s="7">
        <v>2</v>
      </c>
      <c r="AP63" s="7">
        <v>2</v>
      </c>
      <c r="AQ63" s="29">
        <v>44</v>
      </c>
      <c r="AR63" s="7" t="s">
        <v>64</v>
      </c>
      <c r="AS63" s="7" t="s">
        <v>113</v>
      </c>
      <c r="AT63" s="7" t="s">
        <v>91</v>
      </c>
    </row>
    <row r="64" spans="1:47" s="7" customFormat="1" ht="15" customHeight="1" x14ac:dyDescent="0.3">
      <c r="A64" s="7" t="s">
        <v>153</v>
      </c>
      <c r="B64" s="7">
        <v>1</v>
      </c>
      <c r="C64" s="7" t="s">
        <v>82</v>
      </c>
      <c r="D64" s="8" t="s">
        <v>82</v>
      </c>
      <c r="E64" s="7" t="s">
        <v>83</v>
      </c>
      <c r="G64" s="7" t="s">
        <v>103</v>
      </c>
      <c r="H64" s="7" t="s">
        <v>60</v>
      </c>
      <c r="J64" s="7">
        <v>2023</v>
      </c>
      <c r="K64" s="7">
        <v>2023</v>
      </c>
      <c r="L64" s="7" t="s">
        <v>104</v>
      </c>
      <c r="M64" s="7" t="s">
        <v>105</v>
      </c>
      <c r="N64" s="27">
        <v>1583421</v>
      </c>
      <c r="O64" s="7" t="s">
        <v>64</v>
      </c>
      <c r="P64" s="7" t="s">
        <v>65</v>
      </c>
      <c r="Q64" s="7">
        <v>1</v>
      </c>
      <c r="R64" s="7" t="s">
        <v>66</v>
      </c>
      <c r="S64" s="7" t="s">
        <v>106</v>
      </c>
      <c r="T64" s="7" t="s">
        <v>107</v>
      </c>
      <c r="U64" s="7" t="s">
        <v>108</v>
      </c>
      <c r="V64" s="7" t="s">
        <v>69</v>
      </c>
      <c r="W64" s="7" t="s">
        <v>108</v>
      </c>
      <c r="X64" s="7" t="s">
        <v>109</v>
      </c>
      <c r="Y64" s="7" t="s">
        <v>72</v>
      </c>
      <c r="Z64" s="7" t="s">
        <v>73</v>
      </c>
      <c r="AA64" s="7" t="s">
        <v>110</v>
      </c>
      <c r="AB64" s="7">
        <v>17.618707181469951</v>
      </c>
      <c r="AC64" s="7" t="s">
        <v>111</v>
      </c>
      <c r="AD64" s="7" t="s">
        <v>112</v>
      </c>
      <c r="AE64" s="7">
        <v>25</v>
      </c>
      <c r="AI64" s="7" t="s">
        <v>113</v>
      </c>
      <c r="AJ64" s="7" t="s">
        <v>114</v>
      </c>
      <c r="AK64" s="7" t="s">
        <v>115</v>
      </c>
      <c r="AL64" s="7">
        <v>498.77940332288699</v>
      </c>
      <c r="AN64" s="7" t="s">
        <v>116</v>
      </c>
      <c r="AO64" s="7">
        <v>2</v>
      </c>
      <c r="AP64" s="7">
        <v>2</v>
      </c>
      <c r="AQ64" s="29">
        <v>50</v>
      </c>
      <c r="AR64" s="7" t="s">
        <v>64</v>
      </c>
      <c r="AS64" s="7" t="s">
        <v>113</v>
      </c>
      <c r="AT64" s="7" t="s">
        <v>91</v>
      </c>
    </row>
    <row r="65" spans="1:46" s="7" customFormat="1" ht="15" customHeight="1" x14ac:dyDescent="0.3">
      <c r="A65" s="7" t="s">
        <v>153</v>
      </c>
      <c r="B65" s="7">
        <v>1</v>
      </c>
      <c r="C65" s="7" t="s">
        <v>82</v>
      </c>
      <c r="D65" s="8" t="s">
        <v>82</v>
      </c>
      <c r="E65" s="7" t="s">
        <v>83</v>
      </c>
      <c r="G65" s="7" t="s">
        <v>103</v>
      </c>
      <c r="H65" s="7" t="s">
        <v>60</v>
      </c>
      <c r="J65" s="7">
        <v>2023</v>
      </c>
      <c r="K65" s="7">
        <v>2023</v>
      </c>
      <c r="L65" s="7" t="s">
        <v>104</v>
      </c>
      <c r="M65" s="7" t="s">
        <v>105</v>
      </c>
      <c r="N65" s="27">
        <v>1583421</v>
      </c>
      <c r="O65" s="7" t="s">
        <v>64</v>
      </c>
      <c r="P65" s="7" t="s">
        <v>65</v>
      </c>
      <c r="Q65" s="7">
        <v>1</v>
      </c>
      <c r="R65" s="7" t="s">
        <v>66</v>
      </c>
      <c r="S65" s="7" t="s">
        <v>106</v>
      </c>
      <c r="T65" s="7" t="s">
        <v>107</v>
      </c>
      <c r="U65" s="7" t="s">
        <v>108</v>
      </c>
      <c r="V65" s="7" t="s">
        <v>69</v>
      </c>
      <c r="W65" s="7" t="s">
        <v>108</v>
      </c>
      <c r="X65" s="7" t="s">
        <v>109</v>
      </c>
      <c r="Y65" s="7" t="s">
        <v>72</v>
      </c>
      <c r="Z65" s="7" t="s">
        <v>73</v>
      </c>
      <c r="AA65" s="7" t="s">
        <v>110</v>
      </c>
      <c r="AB65" s="7">
        <v>17.618707181469951</v>
      </c>
      <c r="AC65" s="7" t="s">
        <v>111</v>
      </c>
      <c r="AD65" s="7" t="s">
        <v>112</v>
      </c>
      <c r="AE65" s="7">
        <v>26</v>
      </c>
      <c r="AI65" s="7" t="s">
        <v>113</v>
      </c>
      <c r="AJ65" s="7" t="s">
        <v>114</v>
      </c>
      <c r="AK65" s="7" t="s">
        <v>115</v>
      </c>
      <c r="AL65" s="7">
        <v>471.07125744092502</v>
      </c>
      <c r="AN65" s="7" t="s">
        <v>116</v>
      </c>
      <c r="AO65" s="7">
        <v>2</v>
      </c>
      <c r="AP65" s="7">
        <v>2</v>
      </c>
      <c r="AQ65" s="29">
        <v>47</v>
      </c>
      <c r="AR65" s="7" t="s">
        <v>64</v>
      </c>
      <c r="AS65" s="7" t="s">
        <v>113</v>
      </c>
      <c r="AT65" s="7" t="s">
        <v>91</v>
      </c>
    </row>
    <row r="66" spans="1:46" s="7" customFormat="1" ht="15" customHeight="1" x14ac:dyDescent="0.3">
      <c r="A66" s="7" t="s">
        <v>153</v>
      </c>
      <c r="B66" s="7">
        <v>1</v>
      </c>
      <c r="C66" s="7" t="s">
        <v>82</v>
      </c>
      <c r="D66" s="8" t="s">
        <v>82</v>
      </c>
      <c r="E66" s="7" t="s">
        <v>83</v>
      </c>
      <c r="G66" s="7" t="s">
        <v>103</v>
      </c>
      <c r="H66" s="7" t="s">
        <v>60</v>
      </c>
      <c r="J66" s="7">
        <v>2023</v>
      </c>
      <c r="K66" s="7">
        <v>2023</v>
      </c>
      <c r="L66" s="7" t="s">
        <v>104</v>
      </c>
      <c r="M66" s="7" t="s">
        <v>105</v>
      </c>
      <c r="N66" s="27">
        <v>1583421</v>
      </c>
      <c r="O66" s="7" t="s">
        <v>64</v>
      </c>
      <c r="P66" s="7" t="s">
        <v>65</v>
      </c>
      <c r="Q66" s="7">
        <v>1</v>
      </c>
      <c r="R66" s="7" t="s">
        <v>66</v>
      </c>
      <c r="S66" s="7" t="s">
        <v>106</v>
      </c>
      <c r="T66" s="7" t="s">
        <v>107</v>
      </c>
      <c r="U66" s="7" t="s">
        <v>108</v>
      </c>
      <c r="V66" s="7" t="s">
        <v>69</v>
      </c>
      <c r="W66" s="7" t="s">
        <v>108</v>
      </c>
      <c r="X66" s="7" t="s">
        <v>109</v>
      </c>
      <c r="Y66" s="7" t="s">
        <v>72</v>
      </c>
      <c r="Z66" s="7" t="s">
        <v>73</v>
      </c>
      <c r="AA66" s="7" t="s">
        <v>110</v>
      </c>
      <c r="AB66" s="7">
        <v>17.618707181469951</v>
      </c>
      <c r="AC66" s="7" t="s">
        <v>111</v>
      </c>
      <c r="AD66" s="7" t="s">
        <v>112</v>
      </c>
      <c r="AE66" s="7">
        <v>20</v>
      </c>
      <c r="AI66" s="7" t="s">
        <v>73</v>
      </c>
      <c r="AJ66" s="7" t="s">
        <v>74</v>
      </c>
      <c r="AK66" s="7" t="s">
        <v>117</v>
      </c>
      <c r="AL66" s="7">
        <v>5.4675291723273898E-3</v>
      </c>
      <c r="AN66" s="7" t="s">
        <v>116</v>
      </c>
      <c r="AO66" s="7">
        <v>2</v>
      </c>
      <c r="AP66" s="7">
        <v>2</v>
      </c>
      <c r="AQ66" s="29">
        <v>7</v>
      </c>
      <c r="AR66" s="7" t="s">
        <v>64</v>
      </c>
      <c r="AS66" s="7" t="s">
        <v>113</v>
      </c>
      <c r="AT66" s="7" t="s">
        <v>91</v>
      </c>
    </row>
    <row r="67" spans="1:46" s="7" customFormat="1" ht="15" customHeight="1" x14ac:dyDescent="0.3">
      <c r="A67" s="7" t="s">
        <v>153</v>
      </c>
      <c r="B67" s="7">
        <v>1</v>
      </c>
      <c r="C67" s="7" t="s">
        <v>82</v>
      </c>
      <c r="D67" s="8" t="s">
        <v>82</v>
      </c>
      <c r="E67" s="7" t="s">
        <v>83</v>
      </c>
      <c r="G67" s="7" t="s">
        <v>103</v>
      </c>
      <c r="H67" s="7" t="s">
        <v>60</v>
      </c>
      <c r="J67" s="7">
        <v>2023</v>
      </c>
      <c r="K67" s="7">
        <v>2023</v>
      </c>
      <c r="L67" s="7" t="s">
        <v>104</v>
      </c>
      <c r="M67" s="7" t="s">
        <v>105</v>
      </c>
      <c r="N67" s="27">
        <v>1583421</v>
      </c>
      <c r="O67" s="7" t="s">
        <v>64</v>
      </c>
      <c r="P67" s="7" t="s">
        <v>65</v>
      </c>
      <c r="Q67" s="7">
        <v>1</v>
      </c>
      <c r="R67" s="7" t="s">
        <v>66</v>
      </c>
      <c r="S67" s="7" t="s">
        <v>106</v>
      </c>
      <c r="T67" s="7" t="s">
        <v>107</v>
      </c>
      <c r="U67" s="7" t="s">
        <v>108</v>
      </c>
      <c r="V67" s="7" t="s">
        <v>69</v>
      </c>
      <c r="W67" s="7" t="s">
        <v>108</v>
      </c>
      <c r="X67" s="7" t="s">
        <v>109</v>
      </c>
      <c r="Y67" s="7" t="s">
        <v>72</v>
      </c>
      <c r="Z67" s="7" t="s">
        <v>73</v>
      </c>
      <c r="AA67" s="7" t="s">
        <v>110</v>
      </c>
      <c r="AB67" s="7">
        <v>17.618707181469951</v>
      </c>
      <c r="AC67" s="7" t="s">
        <v>111</v>
      </c>
      <c r="AD67" s="7" t="s">
        <v>112</v>
      </c>
      <c r="AE67" s="7">
        <v>21</v>
      </c>
      <c r="AI67" s="7" t="s">
        <v>73</v>
      </c>
      <c r="AJ67" s="7" t="s">
        <v>74</v>
      </c>
      <c r="AK67" s="7" t="s">
        <v>117</v>
      </c>
      <c r="AL67" s="7">
        <v>6.1144567118773E-3</v>
      </c>
      <c r="AN67" s="7" t="s">
        <v>116</v>
      </c>
      <c r="AO67" s="7">
        <v>2</v>
      </c>
      <c r="AP67" s="7">
        <v>2</v>
      </c>
      <c r="AQ67" s="29">
        <v>10</v>
      </c>
      <c r="AR67" s="7" t="s">
        <v>64</v>
      </c>
      <c r="AS67" s="7" t="s">
        <v>113</v>
      </c>
      <c r="AT67" s="7" t="s">
        <v>91</v>
      </c>
    </row>
    <row r="68" spans="1:46" s="7" customFormat="1" ht="15" customHeight="1" x14ac:dyDescent="0.3">
      <c r="A68" s="7" t="s">
        <v>153</v>
      </c>
      <c r="B68" s="7">
        <v>1</v>
      </c>
      <c r="C68" s="7" t="s">
        <v>82</v>
      </c>
      <c r="D68" s="8" t="s">
        <v>82</v>
      </c>
      <c r="E68" s="7" t="s">
        <v>83</v>
      </c>
      <c r="G68" s="7" t="s">
        <v>103</v>
      </c>
      <c r="H68" s="7" t="s">
        <v>60</v>
      </c>
      <c r="J68" s="7">
        <v>2023</v>
      </c>
      <c r="K68" s="7">
        <v>2023</v>
      </c>
      <c r="L68" s="7" t="s">
        <v>104</v>
      </c>
      <c r="M68" s="7" t="s">
        <v>105</v>
      </c>
      <c r="N68" s="27">
        <v>1583421</v>
      </c>
      <c r="O68" s="7" t="s">
        <v>64</v>
      </c>
      <c r="P68" s="7" t="s">
        <v>65</v>
      </c>
      <c r="Q68" s="7">
        <v>1</v>
      </c>
      <c r="R68" s="7" t="s">
        <v>66</v>
      </c>
      <c r="S68" s="7" t="s">
        <v>106</v>
      </c>
      <c r="T68" s="7" t="s">
        <v>107</v>
      </c>
      <c r="U68" s="7" t="s">
        <v>108</v>
      </c>
      <c r="V68" s="7" t="s">
        <v>69</v>
      </c>
      <c r="W68" s="7" t="s">
        <v>108</v>
      </c>
      <c r="X68" s="7" t="s">
        <v>109</v>
      </c>
      <c r="Y68" s="7" t="s">
        <v>72</v>
      </c>
      <c r="Z68" s="7" t="s">
        <v>73</v>
      </c>
      <c r="AA68" s="7" t="s">
        <v>110</v>
      </c>
      <c r="AB68" s="7">
        <v>17.618707181469951</v>
      </c>
      <c r="AC68" s="7" t="s">
        <v>111</v>
      </c>
      <c r="AD68" s="7" t="s">
        <v>112</v>
      </c>
      <c r="AE68" s="7">
        <v>22</v>
      </c>
      <c r="AI68" s="7" t="s">
        <v>73</v>
      </c>
      <c r="AJ68" s="7" t="s">
        <v>74</v>
      </c>
      <c r="AK68" s="7" t="s">
        <v>117</v>
      </c>
      <c r="AL68" s="7">
        <v>6.9160162542765101E-3</v>
      </c>
      <c r="AN68" s="7" t="s">
        <v>116</v>
      </c>
      <c r="AO68" s="7">
        <v>2</v>
      </c>
      <c r="AP68" s="7">
        <v>2</v>
      </c>
      <c r="AQ68" s="29">
        <v>3</v>
      </c>
      <c r="AR68" s="7" t="s">
        <v>64</v>
      </c>
      <c r="AS68" s="7" t="s">
        <v>113</v>
      </c>
      <c r="AT68" s="7" t="s">
        <v>91</v>
      </c>
    </row>
    <row r="69" spans="1:46" s="7" customFormat="1" ht="15" customHeight="1" x14ac:dyDescent="0.3">
      <c r="A69" s="7" t="s">
        <v>153</v>
      </c>
      <c r="B69" s="7">
        <v>1</v>
      </c>
      <c r="C69" s="7" t="s">
        <v>82</v>
      </c>
      <c r="D69" s="8" t="s">
        <v>82</v>
      </c>
      <c r="E69" s="7" t="s">
        <v>83</v>
      </c>
      <c r="G69" s="7" t="s">
        <v>103</v>
      </c>
      <c r="H69" s="7" t="s">
        <v>60</v>
      </c>
      <c r="J69" s="7">
        <v>2023</v>
      </c>
      <c r="K69" s="7">
        <v>2023</v>
      </c>
      <c r="L69" s="7" t="s">
        <v>104</v>
      </c>
      <c r="M69" s="7" t="s">
        <v>105</v>
      </c>
      <c r="N69" s="27">
        <v>1583421</v>
      </c>
      <c r="O69" s="7" t="s">
        <v>64</v>
      </c>
      <c r="P69" s="7" t="s">
        <v>65</v>
      </c>
      <c r="Q69" s="7">
        <v>1</v>
      </c>
      <c r="R69" s="7" t="s">
        <v>66</v>
      </c>
      <c r="S69" s="7" t="s">
        <v>106</v>
      </c>
      <c r="T69" s="7" t="s">
        <v>107</v>
      </c>
      <c r="U69" s="7" t="s">
        <v>108</v>
      </c>
      <c r="V69" s="7" t="s">
        <v>69</v>
      </c>
      <c r="W69" s="7" t="s">
        <v>108</v>
      </c>
      <c r="X69" s="7" t="s">
        <v>109</v>
      </c>
      <c r="Y69" s="7" t="s">
        <v>72</v>
      </c>
      <c r="Z69" s="7" t="s">
        <v>73</v>
      </c>
      <c r="AA69" s="7" t="s">
        <v>110</v>
      </c>
      <c r="AB69" s="7">
        <v>17.618707181469951</v>
      </c>
      <c r="AC69" s="7" t="s">
        <v>111</v>
      </c>
      <c r="AD69" s="7" t="s">
        <v>112</v>
      </c>
      <c r="AE69" s="7">
        <v>23</v>
      </c>
      <c r="AI69" s="7" t="s">
        <v>73</v>
      </c>
      <c r="AJ69" s="7" t="s">
        <v>74</v>
      </c>
      <c r="AK69" s="7" t="s">
        <v>117</v>
      </c>
      <c r="AL69" s="7">
        <v>7.9270867728723996E-3</v>
      </c>
      <c r="AN69" s="7" t="s">
        <v>116</v>
      </c>
      <c r="AO69" s="7">
        <v>2</v>
      </c>
      <c r="AP69" s="7">
        <v>2</v>
      </c>
      <c r="AQ69" s="29">
        <v>29</v>
      </c>
      <c r="AR69" s="7" t="s">
        <v>64</v>
      </c>
      <c r="AS69" s="7" t="s">
        <v>113</v>
      </c>
      <c r="AT69" s="7" t="s">
        <v>91</v>
      </c>
    </row>
    <row r="70" spans="1:46" s="7" customFormat="1" ht="15" customHeight="1" x14ac:dyDescent="0.3">
      <c r="A70" s="7" t="s">
        <v>153</v>
      </c>
      <c r="B70" s="7">
        <v>1</v>
      </c>
      <c r="C70" s="7" t="s">
        <v>82</v>
      </c>
      <c r="D70" s="8" t="s">
        <v>82</v>
      </c>
      <c r="E70" s="7" t="s">
        <v>83</v>
      </c>
      <c r="G70" s="7" t="s">
        <v>103</v>
      </c>
      <c r="H70" s="7" t="s">
        <v>60</v>
      </c>
      <c r="J70" s="7">
        <v>2023</v>
      </c>
      <c r="K70" s="7">
        <v>2023</v>
      </c>
      <c r="L70" s="7" t="s">
        <v>104</v>
      </c>
      <c r="M70" s="7" t="s">
        <v>105</v>
      </c>
      <c r="N70" s="27">
        <v>1583421</v>
      </c>
      <c r="O70" s="7" t="s">
        <v>64</v>
      </c>
      <c r="P70" s="7" t="s">
        <v>65</v>
      </c>
      <c r="Q70" s="7">
        <v>1</v>
      </c>
      <c r="R70" s="7" t="s">
        <v>66</v>
      </c>
      <c r="S70" s="7" t="s">
        <v>106</v>
      </c>
      <c r="T70" s="7" t="s">
        <v>107</v>
      </c>
      <c r="U70" s="7" t="s">
        <v>108</v>
      </c>
      <c r="V70" s="7" t="s">
        <v>69</v>
      </c>
      <c r="W70" s="7" t="s">
        <v>108</v>
      </c>
      <c r="X70" s="7" t="s">
        <v>109</v>
      </c>
      <c r="Y70" s="7" t="s">
        <v>72</v>
      </c>
      <c r="Z70" s="7" t="s">
        <v>73</v>
      </c>
      <c r="AA70" s="7" t="s">
        <v>110</v>
      </c>
      <c r="AB70" s="7">
        <v>17.618707181469951</v>
      </c>
      <c r="AC70" s="7" t="s">
        <v>111</v>
      </c>
      <c r="AD70" s="7" t="s">
        <v>112</v>
      </c>
      <c r="AE70" s="7">
        <v>24</v>
      </c>
      <c r="AI70" s="7" t="s">
        <v>73</v>
      </c>
      <c r="AJ70" s="7" t="s">
        <v>74</v>
      </c>
      <c r="AK70" s="7" t="s">
        <v>117</v>
      </c>
      <c r="AL70" s="7">
        <v>8.8453217608713899E-3</v>
      </c>
      <c r="AN70" s="7" t="s">
        <v>116</v>
      </c>
      <c r="AO70" s="7">
        <v>2</v>
      </c>
      <c r="AP70" s="7">
        <v>2</v>
      </c>
      <c r="AQ70" s="29">
        <v>44</v>
      </c>
      <c r="AR70" s="7" t="s">
        <v>64</v>
      </c>
      <c r="AS70" s="7" t="s">
        <v>113</v>
      </c>
      <c r="AT70" s="7" t="s">
        <v>91</v>
      </c>
    </row>
    <row r="71" spans="1:46" s="7" customFormat="1" ht="14.4" x14ac:dyDescent="0.3">
      <c r="A71" s="7" t="s">
        <v>153</v>
      </c>
      <c r="B71" s="7">
        <v>1</v>
      </c>
      <c r="C71" s="7" t="s">
        <v>82</v>
      </c>
      <c r="D71" s="8" t="s">
        <v>82</v>
      </c>
      <c r="E71" s="7" t="s">
        <v>83</v>
      </c>
      <c r="G71" s="7" t="s">
        <v>103</v>
      </c>
      <c r="H71" s="7" t="s">
        <v>60</v>
      </c>
      <c r="J71" s="7">
        <v>2023</v>
      </c>
      <c r="K71" s="7">
        <v>2023</v>
      </c>
      <c r="L71" s="7" t="s">
        <v>104</v>
      </c>
      <c r="M71" s="7" t="s">
        <v>105</v>
      </c>
      <c r="N71" s="27">
        <v>1583421</v>
      </c>
      <c r="O71" s="7" t="s">
        <v>64</v>
      </c>
      <c r="P71" s="7" t="s">
        <v>65</v>
      </c>
      <c r="Q71" s="7">
        <v>1</v>
      </c>
      <c r="R71" s="7" t="s">
        <v>66</v>
      </c>
      <c r="S71" s="7" t="s">
        <v>106</v>
      </c>
      <c r="T71" s="7" t="s">
        <v>107</v>
      </c>
      <c r="U71" s="7" t="s">
        <v>108</v>
      </c>
      <c r="V71" s="7" t="s">
        <v>69</v>
      </c>
      <c r="W71" s="7" t="s">
        <v>108</v>
      </c>
      <c r="X71" s="7" t="s">
        <v>109</v>
      </c>
      <c r="Y71" s="7" t="s">
        <v>72</v>
      </c>
      <c r="Z71" s="7" t="s">
        <v>73</v>
      </c>
      <c r="AA71" s="7" t="s">
        <v>110</v>
      </c>
      <c r="AB71" s="7">
        <v>17.618707181469951</v>
      </c>
      <c r="AC71" s="7" t="s">
        <v>111</v>
      </c>
      <c r="AD71" s="7" t="s">
        <v>112</v>
      </c>
      <c r="AE71" s="7">
        <v>25</v>
      </c>
      <c r="AI71" s="7" t="s">
        <v>73</v>
      </c>
      <c r="AJ71" s="7" t="s">
        <v>74</v>
      </c>
      <c r="AK71" s="7" t="s">
        <v>117</v>
      </c>
      <c r="AL71" s="7">
        <v>1.0010946123341E-2</v>
      </c>
      <c r="AN71" s="7" t="s">
        <v>116</v>
      </c>
      <c r="AO71" s="7">
        <v>2</v>
      </c>
      <c r="AP71" s="7">
        <v>2</v>
      </c>
      <c r="AQ71" s="29">
        <v>50</v>
      </c>
      <c r="AR71" s="7" t="s">
        <v>64</v>
      </c>
      <c r="AS71" s="7" t="s">
        <v>113</v>
      </c>
      <c r="AT71" s="7" t="s">
        <v>91</v>
      </c>
    </row>
    <row r="72" spans="1:46" s="7" customFormat="1" ht="14.4" x14ac:dyDescent="0.3">
      <c r="A72" s="7" t="s">
        <v>153</v>
      </c>
      <c r="B72" s="7">
        <v>1</v>
      </c>
      <c r="C72" s="7" t="s">
        <v>82</v>
      </c>
      <c r="D72" s="8" t="s">
        <v>82</v>
      </c>
      <c r="E72" s="7" t="s">
        <v>83</v>
      </c>
      <c r="G72" s="7" t="s">
        <v>103</v>
      </c>
      <c r="H72" s="7" t="s">
        <v>60</v>
      </c>
      <c r="J72" s="7">
        <v>2023</v>
      </c>
      <c r="K72" s="7">
        <v>2023</v>
      </c>
      <c r="L72" s="7" t="s">
        <v>104</v>
      </c>
      <c r="M72" s="7" t="s">
        <v>105</v>
      </c>
      <c r="N72" s="27">
        <v>1583421</v>
      </c>
      <c r="O72" s="7" t="s">
        <v>64</v>
      </c>
      <c r="P72" s="7" t="s">
        <v>65</v>
      </c>
      <c r="Q72" s="7">
        <v>1</v>
      </c>
      <c r="R72" s="7" t="s">
        <v>66</v>
      </c>
      <c r="S72" s="7" t="s">
        <v>106</v>
      </c>
      <c r="T72" s="7" t="s">
        <v>107</v>
      </c>
      <c r="U72" s="7" t="s">
        <v>108</v>
      </c>
      <c r="V72" s="7" t="s">
        <v>69</v>
      </c>
      <c r="W72" s="7" t="s">
        <v>108</v>
      </c>
      <c r="X72" s="7" t="s">
        <v>109</v>
      </c>
      <c r="Y72" s="7" t="s">
        <v>72</v>
      </c>
      <c r="Z72" s="7" t="s">
        <v>73</v>
      </c>
      <c r="AA72" s="7" t="s">
        <v>110</v>
      </c>
      <c r="AB72" s="7">
        <v>17.618707181469951</v>
      </c>
      <c r="AC72" s="7" t="s">
        <v>111</v>
      </c>
      <c r="AD72" s="7" t="s">
        <v>112</v>
      </c>
      <c r="AE72" s="7">
        <v>26</v>
      </c>
      <c r="AI72" s="7" t="s">
        <v>73</v>
      </c>
      <c r="AJ72" s="7" t="s">
        <v>74</v>
      </c>
      <c r="AK72" s="7" t="s">
        <v>117</v>
      </c>
      <c r="AL72" s="7">
        <v>1.1148235171078699E-2</v>
      </c>
      <c r="AN72" s="7" t="s">
        <v>116</v>
      </c>
      <c r="AO72" s="7">
        <v>2</v>
      </c>
      <c r="AP72" s="7">
        <v>2</v>
      </c>
      <c r="AQ72" s="29">
        <v>47</v>
      </c>
      <c r="AR72" s="7" t="s">
        <v>64</v>
      </c>
      <c r="AS72" s="7" t="s">
        <v>113</v>
      </c>
      <c r="AT72" s="7" t="s">
        <v>91</v>
      </c>
    </row>
    <row r="73" spans="1:46" s="7" customFormat="1" ht="14.4" x14ac:dyDescent="0.3">
      <c r="A73" s="7" t="s">
        <v>153</v>
      </c>
      <c r="B73" s="7">
        <v>1</v>
      </c>
      <c r="C73" s="7" t="s">
        <v>82</v>
      </c>
      <c r="D73" s="8" t="s">
        <v>82</v>
      </c>
      <c r="E73" s="7" t="s">
        <v>83</v>
      </c>
      <c r="G73" s="7" t="s">
        <v>103</v>
      </c>
      <c r="H73" s="7" t="s">
        <v>60</v>
      </c>
      <c r="J73" s="7">
        <v>2023</v>
      </c>
      <c r="K73" s="7">
        <v>2023</v>
      </c>
      <c r="L73" s="7" t="s">
        <v>104</v>
      </c>
      <c r="M73" s="7" t="s">
        <v>105</v>
      </c>
      <c r="N73" s="27">
        <v>1583421</v>
      </c>
      <c r="O73" s="7" t="s">
        <v>64</v>
      </c>
      <c r="P73" s="7" t="s">
        <v>65</v>
      </c>
      <c r="Q73" s="7">
        <v>3</v>
      </c>
      <c r="R73" s="7" t="s">
        <v>66</v>
      </c>
      <c r="S73" s="7" t="s">
        <v>106</v>
      </c>
      <c r="T73" s="7" t="s">
        <v>107</v>
      </c>
      <c r="U73" s="7" t="s">
        <v>108</v>
      </c>
      <c r="V73" s="7" t="s">
        <v>69</v>
      </c>
      <c r="W73" s="7" t="s">
        <v>108</v>
      </c>
      <c r="X73" s="7" t="s">
        <v>118</v>
      </c>
      <c r="Y73" s="7" t="s">
        <v>72</v>
      </c>
      <c r="Z73" s="7" t="s">
        <v>73</v>
      </c>
      <c r="AA73" s="7" t="s">
        <v>110</v>
      </c>
      <c r="AB73" s="7">
        <v>22.54545263085004</v>
      </c>
      <c r="AC73" s="7" t="s">
        <v>111</v>
      </c>
      <c r="AD73" s="7" t="s">
        <v>112</v>
      </c>
      <c r="AE73" s="7">
        <v>17</v>
      </c>
      <c r="AI73" s="7" t="s">
        <v>113</v>
      </c>
      <c r="AJ73" s="7" t="s">
        <v>114</v>
      </c>
      <c r="AK73" s="7" t="s">
        <v>115</v>
      </c>
      <c r="AL73" s="7">
        <v>66.419291612678506</v>
      </c>
      <c r="AN73" s="7" t="s">
        <v>116</v>
      </c>
      <c r="AO73" s="7">
        <v>2</v>
      </c>
      <c r="AP73" s="7">
        <v>2</v>
      </c>
      <c r="AQ73" s="29">
        <v>7</v>
      </c>
      <c r="AR73" s="7" t="s">
        <v>64</v>
      </c>
      <c r="AS73" s="7" t="s">
        <v>113</v>
      </c>
      <c r="AT73" s="7" t="s">
        <v>91</v>
      </c>
    </row>
    <row r="74" spans="1:46" s="7" customFormat="1" ht="14.4" x14ac:dyDescent="0.3">
      <c r="A74" s="7" t="s">
        <v>153</v>
      </c>
      <c r="B74" s="7">
        <v>1</v>
      </c>
      <c r="C74" s="7" t="s">
        <v>82</v>
      </c>
      <c r="D74" s="8" t="s">
        <v>82</v>
      </c>
      <c r="E74" s="7" t="s">
        <v>83</v>
      </c>
      <c r="G74" s="7" t="s">
        <v>103</v>
      </c>
      <c r="H74" s="7" t="s">
        <v>60</v>
      </c>
      <c r="J74" s="7">
        <v>2023</v>
      </c>
      <c r="K74" s="7">
        <v>2023</v>
      </c>
      <c r="L74" s="7" t="s">
        <v>104</v>
      </c>
      <c r="M74" s="7" t="s">
        <v>105</v>
      </c>
      <c r="N74" s="27">
        <v>1583421</v>
      </c>
      <c r="O74" s="7" t="s">
        <v>64</v>
      </c>
      <c r="P74" s="7" t="s">
        <v>65</v>
      </c>
      <c r="Q74" s="7">
        <v>3</v>
      </c>
      <c r="R74" s="7" t="s">
        <v>66</v>
      </c>
      <c r="S74" s="7" t="s">
        <v>106</v>
      </c>
      <c r="T74" s="7" t="s">
        <v>107</v>
      </c>
      <c r="U74" s="7" t="s">
        <v>108</v>
      </c>
      <c r="V74" s="7" t="s">
        <v>69</v>
      </c>
      <c r="W74" s="7" t="s">
        <v>108</v>
      </c>
      <c r="X74" s="7" t="s">
        <v>119</v>
      </c>
      <c r="Y74" s="7" t="s">
        <v>72</v>
      </c>
      <c r="Z74" s="7" t="s">
        <v>73</v>
      </c>
      <c r="AA74" s="7" t="s">
        <v>110</v>
      </c>
      <c r="AB74" s="7">
        <v>22.54545263085004</v>
      </c>
      <c r="AC74" s="7" t="s">
        <v>111</v>
      </c>
      <c r="AD74" s="7" t="s">
        <v>112</v>
      </c>
      <c r="AE74" s="7">
        <v>18</v>
      </c>
      <c r="AI74" s="7" t="s">
        <v>113</v>
      </c>
      <c r="AJ74" s="7" t="s">
        <v>114</v>
      </c>
      <c r="AK74" s="7" t="s">
        <v>115</v>
      </c>
      <c r="AL74" s="7">
        <v>97.061159346958206</v>
      </c>
      <c r="AN74" s="7" t="s">
        <v>116</v>
      </c>
      <c r="AO74" s="7">
        <v>2</v>
      </c>
      <c r="AP74" s="7">
        <v>2</v>
      </c>
      <c r="AQ74" s="29">
        <v>10</v>
      </c>
      <c r="AR74" s="7" t="s">
        <v>64</v>
      </c>
      <c r="AS74" s="7" t="s">
        <v>113</v>
      </c>
      <c r="AT74" s="7" t="s">
        <v>91</v>
      </c>
    </row>
    <row r="75" spans="1:46" s="7" customFormat="1" ht="14.4" x14ac:dyDescent="0.3">
      <c r="A75" s="7" t="s">
        <v>153</v>
      </c>
      <c r="B75" s="7">
        <v>1</v>
      </c>
      <c r="C75" s="7" t="s">
        <v>82</v>
      </c>
      <c r="D75" s="8" t="s">
        <v>82</v>
      </c>
      <c r="E75" s="7" t="s">
        <v>83</v>
      </c>
      <c r="G75" s="7" t="s">
        <v>103</v>
      </c>
      <c r="H75" s="7" t="s">
        <v>60</v>
      </c>
      <c r="J75" s="7">
        <v>2023</v>
      </c>
      <c r="K75" s="7">
        <v>2023</v>
      </c>
      <c r="L75" s="7" t="s">
        <v>104</v>
      </c>
      <c r="M75" s="7" t="s">
        <v>105</v>
      </c>
      <c r="N75" s="27">
        <v>1583421</v>
      </c>
      <c r="O75" s="7" t="s">
        <v>64</v>
      </c>
      <c r="P75" s="7" t="s">
        <v>65</v>
      </c>
      <c r="Q75" s="7">
        <v>3</v>
      </c>
      <c r="R75" s="7" t="s">
        <v>66</v>
      </c>
      <c r="S75" s="7" t="s">
        <v>106</v>
      </c>
      <c r="T75" s="7" t="s">
        <v>107</v>
      </c>
      <c r="U75" s="7" t="s">
        <v>108</v>
      </c>
      <c r="V75" s="7" t="s">
        <v>69</v>
      </c>
      <c r="W75" s="7" t="s">
        <v>108</v>
      </c>
      <c r="X75" s="7" t="s">
        <v>120</v>
      </c>
      <c r="Y75" s="7" t="s">
        <v>72</v>
      </c>
      <c r="Z75" s="7" t="s">
        <v>73</v>
      </c>
      <c r="AA75" s="7" t="s">
        <v>110</v>
      </c>
      <c r="AB75" s="7">
        <v>22.54545263085004</v>
      </c>
      <c r="AC75" s="7" t="s">
        <v>111</v>
      </c>
      <c r="AD75" s="7" t="s">
        <v>112</v>
      </c>
      <c r="AE75" s="7">
        <v>19</v>
      </c>
      <c r="AI75" s="7" t="s">
        <v>113</v>
      </c>
      <c r="AJ75" s="7" t="s">
        <v>114</v>
      </c>
      <c r="AK75" s="7" t="s">
        <v>115</v>
      </c>
      <c r="AL75" s="7">
        <v>31.109037281028701</v>
      </c>
      <c r="AN75" s="7" t="s">
        <v>116</v>
      </c>
      <c r="AO75" s="7">
        <v>2</v>
      </c>
      <c r="AP75" s="7">
        <v>2</v>
      </c>
      <c r="AQ75" s="29">
        <v>3</v>
      </c>
      <c r="AR75" s="7" t="s">
        <v>64</v>
      </c>
      <c r="AS75" s="7" t="s">
        <v>113</v>
      </c>
      <c r="AT75" s="7" t="s">
        <v>91</v>
      </c>
    </row>
    <row r="76" spans="1:46" s="7" customFormat="1" ht="14.4" x14ac:dyDescent="0.3">
      <c r="A76" s="7" t="s">
        <v>153</v>
      </c>
      <c r="B76" s="7">
        <v>1</v>
      </c>
      <c r="C76" s="7" t="s">
        <v>82</v>
      </c>
      <c r="D76" s="8" t="s">
        <v>82</v>
      </c>
      <c r="E76" s="7" t="s">
        <v>83</v>
      </c>
      <c r="G76" s="7" t="s">
        <v>103</v>
      </c>
      <c r="H76" s="7" t="s">
        <v>60</v>
      </c>
      <c r="J76" s="7">
        <v>2023</v>
      </c>
      <c r="K76" s="7">
        <v>2023</v>
      </c>
      <c r="L76" s="7" t="s">
        <v>104</v>
      </c>
      <c r="M76" s="7" t="s">
        <v>105</v>
      </c>
      <c r="N76" s="27">
        <v>1583421</v>
      </c>
      <c r="O76" s="7" t="s">
        <v>64</v>
      </c>
      <c r="P76" s="7" t="s">
        <v>65</v>
      </c>
      <c r="Q76" s="7">
        <v>3</v>
      </c>
      <c r="R76" s="7" t="s">
        <v>66</v>
      </c>
      <c r="S76" s="7" t="s">
        <v>106</v>
      </c>
      <c r="T76" s="7" t="s">
        <v>107</v>
      </c>
      <c r="U76" s="7" t="s">
        <v>108</v>
      </c>
      <c r="V76" s="7" t="s">
        <v>69</v>
      </c>
      <c r="W76" s="7" t="s">
        <v>108</v>
      </c>
      <c r="X76" s="7" t="s">
        <v>121</v>
      </c>
      <c r="Y76" s="7" t="s">
        <v>72</v>
      </c>
      <c r="Z76" s="7" t="s">
        <v>73</v>
      </c>
      <c r="AA76" s="7" t="s">
        <v>110</v>
      </c>
      <c r="AB76" s="7">
        <v>22.54545263085004</v>
      </c>
      <c r="AC76" s="7" t="s">
        <v>111</v>
      </c>
      <c r="AD76" s="7" t="s">
        <v>112</v>
      </c>
      <c r="AE76" s="7">
        <v>20</v>
      </c>
      <c r="AI76" s="7" t="s">
        <v>113</v>
      </c>
      <c r="AJ76" s="7" t="s">
        <v>114</v>
      </c>
      <c r="AK76" s="7" t="s">
        <v>115</v>
      </c>
      <c r="AL76" s="7">
        <v>294.43272416422002</v>
      </c>
      <c r="AN76" s="7" t="s">
        <v>116</v>
      </c>
      <c r="AO76" s="7">
        <v>2</v>
      </c>
      <c r="AP76" s="7">
        <v>2</v>
      </c>
      <c r="AQ76" s="29">
        <v>29</v>
      </c>
      <c r="AR76" s="7" t="s">
        <v>64</v>
      </c>
      <c r="AS76" s="7" t="s">
        <v>113</v>
      </c>
      <c r="AT76" s="7" t="s">
        <v>91</v>
      </c>
    </row>
    <row r="77" spans="1:46" s="7" customFormat="1" ht="14.4" x14ac:dyDescent="0.3">
      <c r="A77" s="7" t="s">
        <v>153</v>
      </c>
      <c r="B77" s="7">
        <v>1</v>
      </c>
      <c r="C77" s="7" t="s">
        <v>82</v>
      </c>
      <c r="D77" s="8" t="s">
        <v>82</v>
      </c>
      <c r="E77" s="7" t="s">
        <v>83</v>
      </c>
      <c r="G77" s="7" t="s">
        <v>103</v>
      </c>
      <c r="H77" s="7" t="s">
        <v>60</v>
      </c>
      <c r="J77" s="7">
        <v>2023</v>
      </c>
      <c r="K77" s="7">
        <v>2023</v>
      </c>
      <c r="L77" s="7" t="s">
        <v>104</v>
      </c>
      <c r="M77" s="7" t="s">
        <v>105</v>
      </c>
      <c r="N77" s="27">
        <v>1583421</v>
      </c>
      <c r="O77" s="7" t="s">
        <v>64</v>
      </c>
      <c r="P77" s="7" t="s">
        <v>65</v>
      </c>
      <c r="Q77" s="7">
        <v>3</v>
      </c>
      <c r="R77" s="7" t="s">
        <v>66</v>
      </c>
      <c r="S77" s="7" t="s">
        <v>106</v>
      </c>
      <c r="T77" s="7" t="s">
        <v>107</v>
      </c>
      <c r="U77" s="7" t="s">
        <v>108</v>
      </c>
      <c r="V77" s="7" t="s">
        <v>69</v>
      </c>
      <c r="W77" s="7" t="s">
        <v>108</v>
      </c>
      <c r="X77" s="7" t="s">
        <v>122</v>
      </c>
      <c r="Y77" s="7" t="s">
        <v>72</v>
      </c>
      <c r="Z77" s="7" t="s">
        <v>73</v>
      </c>
      <c r="AA77" s="7" t="s">
        <v>110</v>
      </c>
      <c r="AB77" s="7">
        <v>22.54545263085004</v>
      </c>
      <c r="AC77" s="7" t="s">
        <v>111</v>
      </c>
      <c r="AD77" s="7" t="s">
        <v>112</v>
      </c>
      <c r="AE77" s="7">
        <v>21</v>
      </c>
      <c r="AI77" s="7" t="s">
        <v>113</v>
      </c>
      <c r="AJ77" s="7" t="s">
        <v>114</v>
      </c>
      <c r="AK77" s="7" t="s">
        <v>115</v>
      </c>
      <c r="AL77" s="7">
        <v>437.30124909118098</v>
      </c>
      <c r="AN77" s="7" t="s">
        <v>116</v>
      </c>
      <c r="AO77" s="7">
        <v>2</v>
      </c>
      <c r="AP77" s="7">
        <v>2</v>
      </c>
      <c r="AQ77" s="29">
        <v>44</v>
      </c>
      <c r="AR77" s="7" t="s">
        <v>64</v>
      </c>
      <c r="AS77" s="7" t="s">
        <v>113</v>
      </c>
      <c r="AT77" s="7" t="s">
        <v>91</v>
      </c>
    </row>
    <row r="78" spans="1:46" s="7" customFormat="1" ht="14.4" x14ac:dyDescent="0.3">
      <c r="A78" s="7" t="s">
        <v>153</v>
      </c>
      <c r="B78" s="7">
        <v>1</v>
      </c>
      <c r="C78" s="7" t="s">
        <v>82</v>
      </c>
      <c r="D78" s="8" t="s">
        <v>82</v>
      </c>
      <c r="E78" s="7" t="s">
        <v>83</v>
      </c>
      <c r="G78" s="7" t="s">
        <v>103</v>
      </c>
      <c r="H78" s="7" t="s">
        <v>60</v>
      </c>
      <c r="J78" s="7">
        <v>2023</v>
      </c>
      <c r="K78" s="7">
        <v>2023</v>
      </c>
      <c r="L78" s="7" t="s">
        <v>104</v>
      </c>
      <c r="M78" s="7" t="s">
        <v>105</v>
      </c>
      <c r="N78" s="27">
        <v>1583421</v>
      </c>
      <c r="O78" s="7" t="s">
        <v>64</v>
      </c>
      <c r="P78" s="7" t="s">
        <v>65</v>
      </c>
      <c r="Q78" s="7">
        <v>3</v>
      </c>
      <c r="R78" s="7" t="s">
        <v>66</v>
      </c>
      <c r="S78" s="7" t="s">
        <v>106</v>
      </c>
      <c r="T78" s="7" t="s">
        <v>107</v>
      </c>
      <c r="U78" s="7" t="s">
        <v>108</v>
      </c>
      <c r="V78" s="7" t="s">
        <v>69</v>
      </c>
      <c r="W78" s="7" t="s">
        <v>108</v>
      </c>
      <c r="X78" s="7" t="s">
        <v>123</v>
      </c>
      <c r="Y78" s="7" t="s">
        <v>72</v>
      </c>
      <c r="Z78" s="7" t="s">
        <v>73</v>
      </c>
      <c r="AA78" s="7" t="s">
        <v>110</v>
      </c>
      <c r="AB78" s="7">
        <v>22.54545263085004</v>
      </c>
      <c r="AC78" s="7" t="s">
        <v>111</v>
      </c>
      <c r="AD78" s="7" t="s">
        <v>112</v>
      </c>
      <c r="AE78" s="7">
        <v>22</v>
      </c>
      <c r="AI78" s="7" t="s">
        <v>113</v>
      </c>
      <c r="AJ78" s="7" t="s">
        <v>114</v>
      </c>
      <c r="AK78" s="7" t="s">
        <v>115</v>
      </c>
      <c r="AL78" s="7">
        <v>498.77940332288699</v>
      </c>
      <c r="AN78" s="7" t="s">
        <v>116</v>
      </c>
      <c r="AO78" s="7">
        <v>2</v>
      </c>
      <c r="AP78" s="7">
        <v>2</v>
      </c>
      <c r="AQ78" s="29">
        <v>50</v>
      </c>
      <c r="AR78" s="7" t="s">
        <v>64</v>
      </c>
      <c r="AS78" s="7" t="s">
        <v>113</v>
      </c>
      <c r="AT78" s="7" t="s">
        <v>91</v>
      </c>
    </row>
    <row r="79" spans="1:46" s="7" customFormat="1" ht="14.4" x14ac:dyDescent="0.3">
      <c r="A79" s="7" t="s">
        <v>153</v>
      </c>
      <c r="B79" s="7">
        <v>1</v>
      </c>
      <c r="C79" s="7" t="s">
        <v>82</v>
      </c>
      <c r="D79" s="8" t="s">
        <v>82</v>
      </c>
      <c r="E79" s="7" t="s">
        <v>83</v>
      </c>
      <c r="G79" s="7" t="s">
        <v>103</v>
      </c>
      <c r="H79" s="7" t="s">
        <v>60</v>
      </c>
      <c r="J79" s="7">
        <v>2023</v>
      </c>
      <c r="K79" s="7">
        <v>2023</v>
      </c>
      <c r="L79" s="7" t="s">
        <v>104</v>
      </c>
      <c r="M79" s="7" t="s">
        <v>105</v>
      </c>
      <c r="N79" s="27">
        <v>1583421</v>
      </c>
      <c r="O79" s="7" t="s">
        <v>64</v>
      </c>
      <c r="P79" s="7" t="s">
        <v>65</v>
      </c>
      <c r="Q79" s="7">
        <v>3</v>
      </c>
      <c r="R79" s="7" t="s">
        <v>66</v>
      </c>
      <c r="S79" s="7" t="s">
        <v>106</v>
      </c>
      <c r="T79" s="7" t="s">
        <v>107</v>
      </c>
      <c r="U79" s="7" t="s">
        <v>108</v>
      </c>
      <c r="V79" s="7" t="s">
        <v>69</v>
      </c>
      <c r="W79" s="7" t="s">
        <v>108</v>
      </c>
      <c r="X79" s="7" t="s">
        <v>124</v>
      </c>
      <c r="Y79" s="7" t="s">
        <v>72</v>
      </c>
      <c r="Z79" s="7" t="s">
        <v>73</v>
      </c>
      <c r="AA79" s="7" t="s">
        <v>110</v>
      </c>
      <c r="AB79" s="7">
        <v>22.54545263085004</v>
      </c>
      <c r="AC79" s="7" t="s">
        <v>111</v>
      </c>
      <c r="AD79" s="7" t="s">
        <v>112</v>
      </c>
      <c r="AE79" s="7">
        <v>23</v>
      </c>
      <c r="AI79" s="7" t="s">
        <v>113</v>
      </c>
      <c r="AJ79" s="7" t="s">
        <v>114</v>
      </c>
      <c r="AK79" s="7" t="s">
        <v>115</v>
      </c>
      <c r="AL79" s="7">
        <v>471.07125744092502</v>
      </c>
      <c r="AN79" s="7" t="s">
        <v>116</v>
      </c>
      <c r="AO79" s="7">
        <v>2</v>
      </c>
      <c r="AP79" s="7">
        <v>2</v>
      </c>
      <c r="AQ79" s="29">
        <v>47</v>
      </c>
      <c r="AR79" s="7" t="s">
        <v>64</v>
      </c>
      <c r="AS79" s="7" t="s">
        <v>113</v>
      </c>
      <c r="AT79" s="7" t="s">
        <v>91</v>
      </c>
    </row>
    <row r="80" spans="1:46" s="7" customFormat="1" ht="14.4" x14ac:dyDescent="0.3">
      <c r="A80" s="7" t="s">
        <v>153</v>
      </c>
      <c r="B80" s="7">
        <v>1</v>
      </c>
      <c r="C80" s="7" t="s">
        <v>82</v>
      </c>
      <c r="D80" s="8" t="s">
        <v>82</v>
      </c>
      <c r="E80" s="7" t="s">
        <v>83</v>
      </c>
      <c r="G80" s="7" t="s">
        <v>103</v>
      </c>
      <c r="H80" s="7" t="s">
        <v>60</v>
      </c>
      <c r="J80" s="7">
        <v>2023</v>
      </c>
      <c r="K80" s="7">
        <v>2023</v>
      </c>
      <c r="L80" s="7" t="s">
        <v>104</v>
      </c>
      <c r="M80" s="7" t="s">
        <v>105</v>
      </c>
      <c r="N80" s="27">
        <v>1583421</v>
      </c>
      <c r="O80" s="7" t="s">
        <v>64</v>
      </c>
      <c r="P80" s="7" t="s">
        <v>65</v>
      </c>
      <c r="Q80" s="7">
        <v>3</v>
      </c>
      <c r="R80" s="7" t="s">
        <v>66</v>
      </c>
      <c r="S80" s="7" t="s">
        <v>106</v>
      </c>
      <c r="T80" s="7" t="s">
        <v>107</v>
      </c>
      <c r="U80" s="7" t="s">
        <v>108</v>
      </c>
      <c r="V80" s="7" t="s">
        <v>69</v>
      </c>
      <c r="W80" s="7" t="s">
        <v>108</v>
      </c>
      <c r="X80" s="7" t="s">
        <v>125</v>
      </c>
      <c r="Y80" s="7" t="s">
        <v>72</v>
      </c>
      <c r="Z80" s="7" t="s">
        <v>73</v>
      </c>
      <c r="AA80" s="7" t="s">
        <v>110</v>
      </c>
      <c r="AB80" s="7">
        <v>22.54545263085004</v>
      </c>
      <c r="AC80" s="7" t="s">
        <v>111</v>
      </c>
      <c r="AD80" s="7" t="s">
        <v>112</v>
      </c>
      <c r="AE80" s="7">
        <v>24</v>
      </c>
      <c r="AI80" s="7" t="s">
        <v>113</v>
      </c>
      <c r="AJ80" s="7" t="s">
        <v>114</v>
      </c>
      <c r="AK80" s="7" t="s">
        <v>115</v>
      </c>
      <c r="AL80" s="7">
        <v>212.00673852789501</v>
      </c>
      <c r="AN80" s="7" t="s">
        <v>116</v>
      </c>
      <c r="AO80" s="7">
        <v>2</v>
      </c>
      <c r="AP80" s="7">
        <v>2</v>
      </c>
      <c r="AQ80" s="29">
        <v>21</v>
      </c>
      <c r="AR80" s="7" t="s">
        <v>64</v>
      </c>
      <c r="AS80" s="7" t="s">
        <v>113</v>
      </c>
      <c r="AT80" s="7" t="s">
        <v>91</v>
      </c>
    </row>
    <row r="81" spans="1:46" s="7" customFormat="1" ht="14.4" x14ac:dyDescent="0.3">
      <c r="A81" s="7" t="s">
        <v>153</v>
      </c>
      <c r="B81" s="7">
        <v>1</v>
      </c>
      <c r="C81" s="7" t="s">
        <v>82</v>
      </c>
      <c r="D81" s="8" t="s">
        <v>82</v>
      </c>
      <c r="E81" s="7" t="s">
        <v>83</v>
      </c>
      <c r="G81" s="7" t="s">
        <v>103</v>
      </c>
      <c r="H81" s="7" t="s">
        <v>60</v>
      </c>
      <c r="J81" s="7">
        <v>2023</v>
      </c>
      <c r="K81" s="7">
        <v>2023</v>
      </c>
      <c r="L81" s="7" t="s">
        <v>104</v>
      </c>
      <c r="M81" s="7" t="s">
        <v>105</v>
      </c>
      <c r="N81" s="27">
        <v>1583421</v>
      </c>
      <c r="O81" s="7" t="s">
        <v>64</v>
      </c>
      <c r="P81" s="7" t="s">
        <v>65</v>
      </c>
      <c r="Q81" s="7">
        <v>3</v>
      </c>
      <c r="R81" s="7" t="s">
        <v>66</v>
      </c>
      <c r="S81" s="7" t="s">
        <v>106</v>
      </c>
      <c r="T81" s="7" t="s">
        <v>107</v>
      </c>
      <c r="U81" s="7" t="s">
        <v>108</v>
      </c>
      <c r="V81" s="7" t="s">
        <v>69</v>
      </c>
      <c r="W81" s="7" t="s">
        <v>108</v>
      </c>
      <c r="X81" s="7" t="s">
        <v>126</v>
      </c>
      <c r="Y81" s="7" t="s">
        <v>72</v>
      </c>
      <c r="Z81" s="7" t="s">
        <v>73</v>
      </c>
      <c r="AA81" s="7" t="s">
        <v>110</v>
      </c>
      <c r="AB81" s="7">
        <v>22.54545263085004</v>
      </c>
      <c r="AC81" s="7" t="s">
        <v>111</v>
      </c>
      <c r="AD81" s="7" t="s">
        <v>112</v>
      </c>
      <c r="AE81" s="7">
        <v>25</v>
      </c>
      <c r="AI81" s="7" t="s">
        <v>113</v>
      </c>
      <c r="AJ81" s="7" t="s">
        <v>114</v>
      </c>
      <c r="AK81" s="7" t="s">
        <v>115</v>
      </c>
      <c r="AL81" s="7">
        <v>139.96306861344101</v>
      </c>
      <c r="AN81" s="7" t="s">
        <v>116</v>
      </c>
      <c r="AO81" s="7">
        <v>2</v>
      </c>
      <c r="AP81" s="7">
        <v>2</v>
      </c>
      <c r="AQ81" s="29">
        <v>14</v>
      </c>
      <c r="AR81" s="7" t="s">
        <v>64</v>
      </c>
      <c r="AS81" s="7" t="s">
        <v>113</v>
      </c>
      <c r="AT81" s="7" t="s">
        <v>91</v>
      </c>
    </row>
    <row r="82" spans="1:46" s="7" customFormat="1" ht="14.4" x14ac:dyDescent="0.3">
      <c r="A82" s="7" t="s">
        <v>153</v>
      </c>
      <c r="B82" s="7">
        <v>1</v>
      </c>
      <c r="C82" s="7" t="s">
        <v>82</v>
      </c>
      <c r="D82" s="8" t="s">
        <v>82</v>
      </c>
      <c r="E82" s="7" t="s">
        <v>83</v>
      </c>
      <c r="G82" s="7" t="s">
        <v>103</v>
      </c>
      <c r="H82" s="7" t="s">
        <v>60</v>
      </c>
      <c r="J82" s="7">
        <v>2023</v>
      </c>
      <c r="K82" s="7">
        <v>2023</v>
      </c>
      <c r="L82" s="7" t="s">
        <v>104</v>
      </c>
      <c r="M82" s="7" t="s">
        <v>105</v>
      </c>
      <c r="N82" s="27">
        <v>1583421</v>
      </c>
      <c r="O82" s="7" t="s">
        <v>64</v>
      </c>
      <c r="P82" s="7" t="s">
        <v>65</v>
      </c>
      <c r="Q82" s="7">
        <v>3</v>
      </c>
      <c r="R82" s="7" t="s">
        <v>66</v>
      </c>
      <c r="S82" s="7" t="s">
        <v>106</v>
      </c>
      <c r="T82" s="7" t="s">
        <v>107</v>
      </c>
      <c r="U82" s="7" t="s">
        <v>108</v>
      </c>
      <c r="V82" s="7" t="s">
        <v>69</v>
      </c>
      <c r="W82" s="7" t="s">
        <v>108</v>
      </c>
      <c r="X82" s="7" t="s">
        <v>127</v>
      </c>
      <c r="Y82" s="7" t="s">
        <v>72</v>
      </c>
      <c r="Z82" s="7" t="s">
        <v>73</v>
      </c>
      <c r="AA82" s="7" t="s">
        <v>110</v>
      </c>
      <c r="AB82" s="7">
        <v>22.54545263085004</v>
      </c>
      <c r="AC82" s="7" t="s">
        <v>111</v>
      </c>
      <c r="AD82" s="7" t="s">
        <v>112</v>
      </c>
      <c r="AE82" s="7">
        <v>26</v>
      </c>
      <c r="AI82" s="7" t="s">
        <v>113</v>
      </c>
      <c r="AJ82" s="7" t="s">
        <v>114</v>
      </c>
      <c r="AK82" s="7" t="s">
        <v>115</v>
      </c>
      <c r="AL82" s="7">
        <v>19.482257746469902</v>
      </c>
      <c r="AN82" s="7" t="s">
        <v>116</v>
      </c>
      <c r="AO82" s="7">
        <v>2</v>
      </c>
      <c r="AP82" s="7">
        <v>2</v>
      </c>
      <c r="AQ82" s="29">
        <v>2</v>
      </c>
      <c r="AR82" s="7" t="s">
        <v>64</v>
      </c>
      <c r="AS82" s="7" t="s">
        <v>113</v>
      </c>
      <c r="AT82" s="7" t="s">
        <v>91</v>
      </c>
    </row>
    <row r="83" spans="1:46" s="7" customFormat="1" ht="14.4" x14ac:dyDescent="0.3">
      <c r="A83" s="7" t="s">
        <v>153</v>
      </c>
      <c r="B83" s="7">
        <v>1</v>
      </c>
      <c r="C83" s="7" t="s">
        <v>82</v>
      </c>
      <c r="D83" s="8" t="s">
        <v>82</v>
      </c>
      <c r="E83" s="7" t="s">
        <v>83</v>
      </c>
      <c r="G83" s="7" t="s">
        <v>103</v>
      </c>
      <c r="H83" s="7" t="s">
        <v>60</v>
      </c>
      <c r="J83" s="7">
        <v>2023</v>
      </c>
      <c r="K83" s="7">
        <v>2023</v>
      </c>
      <c r="L83" s="7" t="s">
        <v>104</v>
      </c>
      <c r="M83" s="7" t="s">
        <v>105</v>
      </c>
      <c r="N83" s="27">
        <v>1583421</v>
      </c>
      <c r="O83" s="7" t="s">
        <v>64</v>
      </c>
      <c r="P83" s="7" t="s">
        <v>65</v>
      </c>
      <c r="Q83" s="7">
        <v>3</v>
      </c>
      <c r="R83" s="7" t="s">
        <v>66</v>
      </c>
      <c r="S83" s="7" t="s">
        <v>106</v>
      </c>
      <c r="T83" s="7" t="s">
        <v>107</v>
      </c>
      <c r="U83" s="7" t="s">
        <v>108</v>
      </c>
      <c r="V83" s="7" t="s">
        <v>69</v>
      </c>
      <c r="W83" s="7" t="s">
        <v>108</v>
      </c>
      <c r="X83" s="7" t="s">
        <v>128</v>
      </c>
      <c r="Y83" s="7" t="s">
        <v>72</v>
      </c>
      <c r="Z83" s="7" t="s">
        <v>73</v>
      </c>
      <c r="AA83" s="7" t="s">
        <v>110</v>
      </c>
      <c r="AB83" s="7">
        <v>22.54545263085004</v>
      </c>
      <c r="AC83" s="7" t="s">
        <v>111</v>
      </c>
      <c r="AD83" s="7" t="s">
        <v>112</v>
      </c>
      <c r="AE83" s="7">
        <v>17</v>
      </c>
      <c r="AI83" s="7" t="s">
        <v>73</v>
      </c>
      <c r="AJ83" s="7" t="s">
        <v>74</v>
      </c>
      <c r="AK83" s="7" t="s">
        <v>117</v>
      </c>
      <c r="AL83" s="7">
        <v>5.4675291723273898E-3</v>
      </c>
      <c r="AN83" s="7" t="s">
        <v>116</v>
      </c>
      <c r="AO83" s="7">
        <v>2</v>
      </c>
      <c r="AP83" s="7">
        <v>2</v>
      </c>
      <c r="AQ83" s="29">
        <v>7</v>
      </c>
      <c r="AR83" s="7" t="s">
        <v>64</v>
      </c>
      <c r="AS83" s="7" t="s">
        <v>113</v>
      </c>
      <c r="AT83" s="7" t="s">
        <v>91</v>
      </c>
    </row>
    <row r="84" spans="1:46" s="7" customFormat="1" ht="14.4" x14ac:dyDescent="0.3">
      <c r="A84" s="7" t="s">
        <v>153</v>
      </c>
      <c r="B84" s="7">
        <v>1</v>
      </c>
      <c r="C84" s="7" t="s">
        <v>82</v>
      </c>
      <c r="D84" s="8" t="s">
        <v>82</v>
      </c>
      <c r="E84" s="7" t="s">
        <v>83</v>
      </c>
      <c r="G84" s="7" t="s">
        <v>103</v>
      </c>
      <c r="H84" s="7" t="s">
        <v>60</v>
      </c>
      <c r="J84" s="7">
        <v>2023</v>
      </c>
      <c r="K84" s="7">
        <v>2023</v>
      </c>
      <c r="L84" s="7" t="s">
        <v>104</v>
      </c>
      <c r="M84" s="7" t="s">
        <v>105</v>
      </c>
      <c r="N84" s="27">
        <v>1583421</v>
      </c>
      <c r="O84" s="7" t="s">
        <v>64</v>
      </c>
      <c r="P84" s="7" t="s">
        <v>65</v>
      </c>
      <c r="Q84" s="7">
        <v>3</v>
      </c>
      <c r="R84" s="7" t="s">
        <v>66</v>
      </c>
      <c r="S84" s="7" t="s">
        <v>106</v>
      </c>
      <c r="T84" s="7" t="s">
        <v>107</v>
      </c>
      <c r="U84" s="7" t="s">
        <v>108</v>
      </c>
      <c r="V84" s="7" t="s">
        <v>69</v>
      </c>
      <c r="W84" s="7" t="s">
        <v>108</v>
      </c>
      <c r="X84" s="7" t="s">
        <v>129</v>
      </c>
      <c r="Y84" s="7" t="s">
        <v>72</v>
      </c>
      <c r="Z84" s="7" t="s">
        <v>73</v>
      </c>
      <c r="AA84" s="7" t="s">
        <v>110</v>
      </c>
      <c r="AB84" s="7">
        <v>22.54545263085004</v>
      </c>
      <c r="AC84" s="7" t="s">
        <v>111</v>
      </c>
      <c r="AD84" s="7" t="s">
        <v>112</v>
      </c>
      <c r="AE84" s="7">
        <v>18</v>
      </c>
      <c r="AI84" s="7" t="s">
        <v>73</v>
      </c>
      <c r="AJ84" s="7" t="s">
        <v>74</v>
      </c>
      <c r="AK84" s="7" t="s">
        <v>117</v>
      </c>
      <c r="AL84" s="7">
        <v>6.1144567118773E-3</v>
      </c>
      <c r="AN84" s="7" t="s">
        <v>116</v>
      </c>
      <c r="AO84" s="7">
        <v>2</v>
      </c>
      <c r="AP84" s="7">
        <v>2</v>
      </c>
      <c r="AQ84" s="29">
        <v>10</v>
      </c>
      <c r="AR84" s="7" t="s">
        <v>64</v>
      </c>
      <c r="AS84" s="7" t="s">
        <v>113</v>
      </c>
      <c r="AT84" s="7" t="s">
        <v>91</v>
      </c>
    </row>
    <row r="85" spans="1:46" s="7" customFormat="1" ht="14.4" x14ac:dyDescent="0.3">
      <c r="A85" s="7" t="s">
        <v>153</v>
      </c>
      <c r="B85" s="7">
        <v>1</v>
      </c>
      <c r="C85" s="7" t="s">
        <v>82</v>
      </c>
      <c r="D85" s="8" t="s">
        <v>82</v>
      </c>
      <c r="E85" s="7" t="s">
        <v>83</v>
      </c>
      <c r="G85" s="7" t="s">
        <v>103</v>
      </c>
      <c r="H85" s="7" t="s">
        <v>60</v>
      </c>
      <c r="J85" s="7">
        <v>2023</v>
      </c>
      <c r="K85" s="7">
        <v>2023</v>
      </c>
      <c r="L85" s="7" t="s">
        <v>104</v>
      </c>
      <c r="M85" s="7" t="s">
        <v>105</v>
      </c>
      <c r="N85" s="27">
        <v>1583421</v>
      </c>
      <c r="O85" s="7" t="s">
        <v>64</v>
      </c>
      <c r="P85" s="7" t="s">
        <v>65</v>
      </c>
      <c r="Q85" s="7">
        <v>3</v>
      </c>
      <c r="R85" s="7" t="s">
        <v>66</v>
      </c>
      <c r="S85" s="7" t="s">
        <v>106</v>
      </c>
      <c r="T85" s="7" t="s">
        <v>107</v>
      </c>
      <c r="U85" s="7" t="s">
        <v>108</v>
      </c>
      <c r="V85" s="7" t="s">
        <v>69</v>
      </c>
      <c r="W85" s="7" t="s">
        <v>108</v>
      </c>
      <c r="X85" s="7" t="s">
        <v>130</v>
      </c>
      <c r="Y85" s="7" t="s">
        <v>72</v>
      </c>
      <c r="Z85" s="7" t="s">
        <v>73</v>
      </c>
      <c r="AA85" s="7" t="s">
        <v>110</v>
      </c>
      <c r="AB85" s="7">
        <v>22.54545263085004</v>
      </c>
      <c r="AC85" s="7" t="s">
        <v>111</v>
      </c>
      <c r="AD85" s="7" t="s">
        <v>112</v>
      </c>
      <c r="AE85" s="7">
        <v>19</v>
      </c>
      <c r="AI85" s="7" t="s">
        <v>73</v>
      </c>
      <c r="AJ85" s="7" t="s">
        <v>74</v>
      </c>
      <c r="AK85" s="7" t="s">
        <v>117</v>
      </c>
      <c r="AL85" s="7">
        <v>6.9160162542765101E-3</v>
      </c>
      <c r="AN85" s="7" t="s">
        <v>116</v>
      </c>
      <c r="AO85" s="7">
        <v>2</v>
      </c>
      <c r="AP85" s="7">
        <v>2</v>
      </c>
      <c r="AQ85" s="29">
        <v>3</v>
      </c>
      <c r="AR85" s="7" t="s">
        <v>64</v>
      </c>
      <c r="AS85" s="7" t="s">
        <v>113</v>
      </c>
      <c r="AT85" s="7" t="s">
        <v>91</v>
      </c>
    </row>
    <row r="86" spans="1:46" s="7" customFormat="1" ht="14.4" x14ac:dyDescent="0.3">
      <c r="A86" s="7" t="s">
        <v>153</v>
      </c>
      <c r="B86" s="7">
        <v>1</v>
      </c>
      <c r="C86" s="7" t="s">
        <v>82</v>
      </c>
      <c r="D86" s="8" t="s">
        <v>82</v>
      </c>
      <c r="E86" s="7" t="s">
        <v>83</v>
      </c>
      <c r="G86" s="7" t="s">
        <v>103</v>
      </c>
      <c r="H86" s="7" t="s">
        <v>60</v>
      </c>
      <c r="J86" s="7">
        <v>2023</v>
      </c>
      <c r="K86" s="7">
        <v>2023</v>
      </c>
      <c r="L86" s="7" t="s">
        <v>104</v>
      </c>
      <c r="M86" s="7" t="s">
        <v>105</v>
      </c>
      <c r="N86" s="27">
        <v>1583421</v>
      </c>
      <c r="O86" s="7" t="s">
        <v>64</v>
      </c>
      <c r="P86" s="7" t="s">
        <v>65</v>
      </c>
      <c r="Q86" s="7">
        <v>3</v>
      </c>
      <c r="R86" s="7" t="s">
        <v>66</v>
      </c>
      <c r="S86" s="7" t="s">
        <v>106</v>
      </c>
      <c r="T86" s="7" t="s">
        <v>107</v>
      </c>
      <c r="U86" s="7" t="s">
        <v>108</v>
      </c>
      <c r="V86" s="7" t="s">
        <v>69</v>
      </c>
      <c r="W86" s="7" t="s">
        <v>108</v>
      </c>
      <c r="X86" s="7" t="s">
        <v>131</v>
      </c>
      <c r="Y86" s="7" t="s">
        <v>72</v>
      </c>
      <c r="Z86" s="7" t="s">
        <v>73</v>
      </c>
      <c r="AA86" s="7" t="s">
        <v>110</v>
      </c>
      <c r="AB86" s="7">
        <v>22.54545263085004</v>
      </c>
      <c r="AC86" s="7" t="s">
        <v>111</v>
      </c>
      <c r="AD86" s="7" t="s">
        <v>112</v>
      </c>
      <c r="AE86" s="7">
        <v>20</v>
      </c>
      <c r="AI86" s="7" t="s">
        <v>73</v>
      </c>
      <c r="AJ86" s="7" t="s">
        <v>74</v>
      </c>
      <c r="AK86" s="7" t="s">
        <v>117</v>
      </c>
      <c r="AL86" s="7">
        <v>7.9270867728723996E-3</v>
      </c>
      <c r="AN86" s="7" t="s">
        <v>116</v>
      </c>
      <c r="AO86" s="7">
        <v>2</v>
      </c>
      <c r="AP86" s="7">
        <v>2</v>
      </c>
      <c r="AQ86" s="29">
        <v>29</v>
      </c>
      <c r="AR86" s="7" t="s">
        <v>64</v>
      </c>
      <c r="AS86" s="7" t="s">
        <v>113</v>
      </c>
      <c r="AT86" s="7" t="s">
        <v>91</v>
      </c>
    </row>
    <row r="87" spans="1:46" s="7" customFormat="1" ht="14.4" x14ac:dyDescent="0.3">
      <c r="A87" s="7" t="s">
        <v>153</v>
      </c>
      <c r="B87" s="7">
        <v>1</v>
      </c>
      <c r="C87" s="7" t="s">
        <v>82</v>
      </c>
      <c r="D87" s="8" t="s">
        <v>82</v>
      </c>
      <c r="E87" s="7" t="s">
        <v>83</v>
      </c>
      <c r="G87" s="7" t="s">
        <v>103</v>
      </c>
      <c r="H87" s="7" t="s">
        <v>60</v>
      </c>
      <c r="J87" s="7">
        <v>2023</v>
      </c>
      <c r="K87" s="7">
        <v>2023</v>
      </c>
      <c r="L87" s="7" t="s">
        <v>104</v>
      </c>
      <c r="M87" s="7" t="s">
        <v>105</v>
      </c>
      <c r="N87" s="27">
        <v>1583421</v>
      </c>
      <c r="O87" s="7" t="s">
        <v>64</v>
      </c>
      <c r="P87" s="7" t="s">
        <v>65</v>
      </c>
      <c r="Q87" s="7">
        <v>3</v>
      </c>
      <c r="R87" s="7" t="s">
        <v>66</v>
      </c>
      <c r="S87" s="7" t="s">
        <v>106</v>
      </c>
      <c r="T87" s="7" t="s">
        <v>107</v>
      </c>
      <c r="U87" s="7" t="s">
        <v>108</v>
      </c>
      <c r="V87" s="7" t="s">
        <v>69</v>
      </c>
      <c r="W87" s="7" t="s">
        <v>108</v>
      </c>
      <c r="X87" s="7" t="s">
        <v>132</v>
      </c>
      <c r="Y87" s="7" t="s">
        <v>72</v>
      </c>
      <c r="Z87" s="7" t="s">
        <v>73</v>
      </c>
      <c r="AA87" s="7" t="s">
        <v>110</v>
      </c>
      <c r="AB87" s="7">
        <v>22.54545263085004</v>
      </c>
      <c r="AC87" s="7" t="s">
        <v>111</v>
      </c>
      <c r="AD87" s="7" t="s">
        <v>112</v>
      </c>
      <c r="AE87" s="7">
        <v>21</v>
      </c>
      <c r="AI87" s="7" t="s">
        <v>73</v>
      </c>
      <c r="AJ87" s="7" t="s">
        <v>74</v>
      </c>
      <c r="AK87" s="7" t="s">
        <v>117</v>
      </c>
      <c r="AL87" s="7">
        <v>8.8453217608713899E-3</v>
      </c>
      <c r="AN87" s="7" t="s">
        <v>116</v>
      </c>
      <c r="AO87" s="7">
        <v>2</v>
      </c>
      <c r="AP87" s="7">
        <v>2</v>
      </c>
      <c r="AQ87" s="29">
        <v>44</v>
      </c>
      <c r="AR87" s="7" t="s">
        <v>64</v>
      </c>
      <c r="AS87" s="7" t="s">
        <v>113</v>
      </c>
      <c r="AT87" s="7" t="s">
        <v>91</v>
      </c>
    </row>
    <row r="88" spans="1:46" s="7" customFormat="1" ht="14.4" x14ac:dyDescent="0.3">
      <c r="A88" s="7" t="s">
        <v>153</v>
      </c>
      <c r="B88" s="7">
        <v>1</v>
      </c>
      <c r="C88" s="7" t="s">
        <v>82</v>
      </c>
      <c r="D88" s="8" t="s">
        <v>82</v>
      </c>
      <c r="E88" s="7" t="s">
        <v>83</v>
      </c>
      <c r="G88" s="7" t="s">
        <v>103</v>
      </c>
      <c r="H88" s="7" t="s">
        <v>60</v>
      </c>
      <c r="J88" s="7">
        <v>2023</v>
      </c>
      <c r="K88" s="7">
        <v>2023</v>
      </c>
      <c r="L88" s="7" t="s">
        <v>104</v>
      </c>
      <c r="M88" s="7" t="s">
        <v>105</v>
      </c>
      <c r="N88" s="27">
        <v>1583421</v>
      </c>
      <c r="O88" s="7" t="s">
        <v>64</v>
      </c>
      <c r="P88" s="7" t="s">
        <v>65</v>
      </c>
      <c r="Q88" s="7">
        <v>3</v>
      </c>
      <c r="R88" s="7" t="s">
        <v>66</v>
      </c>
      <c r="S88" s="7" t="s">
        <v>106</v>
      </c>
      <c r="T88" s="7" t="s">
        <v>107</v>
      </c>
      <c r="U88" s="7" t="s">
        <v>108</v>
      </c>
      <c r="V88" s="7" t="s">
        <v>69</v>
      </c>
      <c r="W88" s="7" t="s">
        <v>108</v>
      </c>
      <c r="X88" s="7" t="s">
        <v>133</v>
      </c>
      <c r="Y88" s="7" t="s">
        <v>72</v>
      </c>
      <c r="Z88" s="7" t="s">
        <v>73</v>
      </c>
      <c r="AA88" s="7" t="s">
        <v>110</v>
      </c>
      <c r="AB88" s="7">
        <v>22.54545263085004</v>
      </c>
      <c r="AC88" s="7" t="s">
        <v>111</v>
      </c>
      <c r="AD88" s="7" t="s">
        <v>112</v>
      </c>
      <c r="AE88" s="7">
        <v>22</v>
      </c>
      <c r="AI88" s="7" t="s">
        <v>73</v>
      </c>
      <c r="AJ88" s="7" t="s">
        <v>74</v>
      </c>
      <c r="AK88" s="7" t="s">
        <v>117</v>
      </c>
      <c r="AL88" s="7">
        <v>1.0010946123341E-2</v>
      </c>
      <c r="AN88" s="7" t="s">
        <v>116</v>
      </c>
      <c r="AO88" s="7">
        <v>2</v>
      </c>
      <c r="AP88" s="7">
        <v>2</v>
      </c>
      <c r="AQ88" s="29">
        <v>50</v>
      </c>
      <c r="AR88" s="7" t="s">
        <v>64</v>
      </c>
      <c r="AS88" s="7" t="s">
        <v>113</v>
      </c>
      <c r="AT88" s="7" t="s">
        <v>91</v>
      </c>
    </row>
    <row r="89" spans="1:46" s="7" customFormat="1" ht="14.4" x14ac:dyDescent="0.3">
      <c r="A89" s="7" t="s">
        <v>153</v>
      </c>
      <c r="B89" s="7">
        <v>1</v>
      </c>
      <c r="C89" s="7" t="s">
        <v>82</v>
      </c>
      <c r="D89" s="8" t="s">
        <v>82</v>
      </c>
      <c r="E89" s="7" t="s">
        <v>83</v>
      </c>
      <c r="G89" s="7" t="s">
        <v>103</v>
      </c>
      <c r="H89" s="7" t="s">
        <v>60</v>
      </c>
      <c r="J89" s="7">
        <v>2023</v>
      </c>
      <c r="K89" s="7">
        <v>2023</v>
      </c>
      <c r="L89" s="7" t="s">
        <v>104</v>
      </c>
      <c r="M89" s="7" t="s">
        <v>105</v>
      </c>
      <c r="N89" s="27">
        <v>1583421</v>
      </c>
      <c r="O89" s="7" t="s">
        <v>64</v>
      </c>
      <c r="P89" s="7" t="s">
        <v>65</v>
      </c>
      <c r="Q89" s="7">
        <v>3</v>
      </c>
      <c r="R89" s="7" t="s">
        <v>66</v>
      </c>
      <c r="S89" s="7" t="s">
        <v>106</v>
      </c>
      <c r="T89" s="7" t="s">
        <v>107</v>
      </c>
      <c r="U89" s="7" t="s">
        <v>108</v>
      </c>
      <c r="V89" s="7" t="s">
        <v>69</v>
      </c>
      <c r="W89" s="7" t="s">
        <v>108</v>
      </c>
      <c r="X89" s="7" t="s">
        <v>134</v>
      </c>
      <c r="Y89" s="7" t="s">
        <v>72</v>
      </c>
      <c r="Z89" s="7" t="s">
        <v>73</v>
      </c>
      <c r="AA89" s="7" t="s">
        <v>110</v>
      </c>
      <c r="AB89" s="7">
        <v>22.54545263085004</v>
      </c>
      <c r="AC89" s="7" t="s">
        <v>111</v>
      </c>
      <c r="AD89" s="7" t="s">
        <v>112</v>
      </c>
      <c r="AE89" s="7">
        <v>23</v>
      </c>
      <c r="AI89" s="7" t="s">
        <v>73</v>
      </c>
      <c r="AJ89" s="7" t="s">
        <v>74</v>
      </c>
      <c r="AK89" s="7" t="s">
        <v>117</v>
      </c>
      <c r="AL89" s="7">
        <v>1.1148235171078699E-2</v>
      </c>
      <c r="AN89" s="7" t="s">
        <v>116</v>
      </c>
      <c r="AO89" s="7">
        <v>2</v>
      </c>
      <c r="AP89" s="7">
        <v>2</v>
      </c>
      <c r="AQ89" s="29">
        <v>47</v>
      </c>
      <c r="AR89" s="7" t="s">
        <v>64</v>
      </c>
      <c r="AS89" s="7" t="s">
        <v>113</v>
      </c>
      <c r="AT89" s="7" t="s">
        <v>91</v>
      </c>
    </row>
    <row r="90" spans="1:46" s="7" customFormat="1" ht="14.4" x14ac:dyDescent="0.3">
      <c r="A90" s="7" t="s">
        <v>153</v>
      </c>
      <c r="B90" s="7">
        <v>1</v>
      </c>
      <c r="C90" s="7" t="s">
        <v>82</v>
      </c>
      <c r="D90" s="8" t="s">
        <v>82</v>
      </c>
      <c r="E90" s="7" t="s">
        <v>83</v>
      </c>
      <c r="G90" s="7" t="s">
        <v>103</v>
      </c>
      <c r="H90" s="7" t="s">
        <v>60</v>
      </c>
      <c r="J90" s="7">
        <v>2023</v>
      </c>
      <c r="K90" s="7">
        <v>2023</v>
      </c>
      <c r="L90" s="7" t="s">
        <v>104</v>
      </c>
      <c r="M90" s="7" t="s">
        <v>105</v>
      </c>
      <c r="N90" s="27">
        <v>1583421</v>
      </c>
      <c r="O90" s="7" t="s">
        <v>64</v>
      </c>
      <c r="P90" s="7" t="s">
        <v>65</v>
      </c>
      <c r="Q90" s="7">
        <v>3</v>
      </c>
      <c r="R90" s="7" t="s">
        <v>66</v>
      </c>
      <c r="S90" s="7" t="s">
        <v>106</v>
      </c>
      <c r="T90" s="7" t="s">
        <v>107</v>
      </c>
      <c r="U90" s="7" t="s">
        <v>108</v>
      </c>
      <c r="V90" s="7" t="s">
        <v>69</v>
      </c>
      <c r="W90" s="7" t="s">
        <v>108</v>
      </c>
      <c r="X90" s="7" t="s">
        <v>135</v>
      </c>
      <c r="Y90" s="7" t="s">
        <v>72</v>
      </c>
      <c r="Z90" s="7" t="s">
        <v>73</v>
      </c>
      <c r="AA90" s="7" t="s">
        <v>110</v>
      </c>
      <c r="AB90" s="7">
        <v>22.54545263085004</v>
      </c>
      <c r="AC90" s="7" t="s">
        <v>111</v>
      </c>
      <c r="AD90" s="7" t="s">
        <v>112</v>
      </c>
      <c r="AE90" s="7">
        <v>24</v>
      </c>
      <c r="AI90" s="7" t="s">
        <v>73</v>
      </c>
      <c r="AJ90" s="7" t="s">
        <v>74</v>
      </c>
      <c r="AK90" s="7" t="s">
        <v>117</v>
      </c>
      <c r="AL90" s="7">
        <v>1.25869427670208E-2</v>
      </c>
      <c r="AN90" s="7" t="s">
        <v>116</v>
      </c>
      <c r="AO90" s="7">
        <v>2</v>
      </c>
      <c r="AP90" s="7">
        <v>2</v>
      </c>
      <c r="AQ90" s="29">
        <v>21</v>
      </c>
      <c r="AR90" s="7" t="s">
        <v>64</v>
      </c>
      <c r="AS90" s="7" t="s">
        <v>113</v>
      </c>
      <c r="AT90" s="7" t="s">
        <v>91</v>
      </c>
    </row>
    <row r="91" spans="1:46" s="7" customFormat="1" ht="14.4" x14ac:dyDescent="0.3">
      <c r="A91" s="7" t="s">
        <v>153</v>
      </c>
      <c r="B91" s="7">
        <v>1</v>
      </c>
      <c r="C91" s="7" t="s">
        <v>82</v>
      </c>
      <c r="D91" s="8" t="s">
        <v>82</v>
      </c>
      <c r="E91" s="7" t="s">
        <v>83</v>
      </c>
      <c r="G91" s="7" t="s">
        <v>103</v>
      </c>
      <c r="H91" s="7" t="s">
        <v>60</v>
      </c>
      <c r="J91" s="7">
        <v>2023</v>
      </c>
      <c r="K91" s="7">
        <v>2023</v>
      </c>
      <c r="L91" s="7" t="s">
        <v>104</v>
      </c>
      <c r="M91" s="7" t="s">
        <v>105</v>
      </c>
      <c r="N91" s="27">
        <v>1583421</v>
      </c>
      <c r="O91" s="7" t="s">
        <v>64</v>
      </c>
      <c r="P91" s="7" t="s">
        <v>65</v>
      </c>
      <c r="Q91" s="7">
        <v>3</v>
      </c>
      <c r="R91" s="7" t="s">
        <v>66</v>
      </c>
      <c r="S91" s="7" t="s">
        <v>106</v>
      </c>
      <c r="T91" s="7" t="s">
        <v>107</v>
      </c>
      <c r="U91" s="7" t="s">
        <v>108</v>
      </c>
      <c r="V91" s="7" t="s">
        <v>69</v>
      </c>
      <c r="W91" s="7" t="s">
        <v>108</v>
      </c>
      <c r="X91" s="7" t="s">
        <v>136</v>
      </c>
      <c r="Y91" s="7" t="s">
        <v>72</v>
      </c>
      <c r="Z91" s="7" t="s">
        <v>73</v>
      </c>
      <c r="AA91" s="7" t="s">
        <v>110</v>
      </c>
      <c r="AB91" s="7">
        <v>22.54545263085004</v>
      </c>
      <c r="AC91" s="7" t="s">
        <v>111</v>
      </c>
      <c r="AD91" s="7" t="s">
        <v>112</v>
      </c>
      <c r="AE91" s="7">
        <v>25</v>
      </c>
      <c r="AI91" s="7" t="s">
        <v>73</v>
      </c>
      <c r="AJ91" s="7" t="s">
        <v>74</v>
      </c>
      <c r="AK91" s="7" t="s">
        <v>117</v>
      </c>
      <c r="AL91" s="7">
        <v>1.3782784392900401E-2</v>
      </c>
      <c r="AN91" s="7" t="s">
        <v>116</v>
      </c>
      <c r="AO91" s="7">
        <v>2</v>
      </c>
      <c r="AP91" s="7">
        <v>2</v>
      </c>
      <c r="AQ91" s="29">
        <v>14</v>
      </c>
      <c r="AR91" s="7" t="s">
        <v>64</v>
      </c>
      <c r="AS91" s="7" t="s">
        <v>113</v>
      </c>
      <c r="AT91" s="7" t="s">
        <v>91</v>
      </c>
    </row>
    <row r="92" spans="1:46" s="7" customFormat="1" ht="14.4" x14ac:dyDescent="0.3">
      <c r="A92" s="7" t="s">
        <v>153</v>
      </c>
      <c r="B92" s="7">
        <v>1</v>
      </c>
      <c r="C92" s="7" t="s">
        <v>82</v>
      </c>
      <c r="D92" s="8" t="s">
        <v>82</v>
      </c>
      <c r="E92" s="7" t="s">
        <v>83</v>
      </c>
      <c r="G92" s="7" t="s">
        <v>103</v>
      </c>
      <c r="H92" s="7" t="s">
        <v>60</v>
      </c>
      <c r="J92" s="7">
        <v>2023</v>
      </c>
      <c r="K92" s="7">
        <v>2023</v>
      </c>
      <c r="L92" s="7" t="s">
        <v>104</v>
      </c>
      <c r="M92" s="7" t="s">
        <v>105</v>
      </c>
      <c r="N92" s="27">
        <v>1583421</v>
      </c>
      <c r="O92" s="7" t="s">
        <v>64</v>
      </c>
      <c r="P92" s="7" t="s">
        <v>65</v>
      </c>
      <c r="Q92" s="7">
        <v>3</v>
      </c>
      <c r="R92" s="7" t="s">
        <v>66</v>
      </c>
      <c r="S92" s="7" t="s">
        <v>106</v>
      </c>
      <c r="T92" s="7" t="s">
        <v>107</v>
      </c>
      <c r="U92" s="7" t="s">
        <v>108</v>
      </c>
      <c r="V92" s="7" t="s">
        <v>69</v>
      </c>
      <c r="W92" s="7" t="s">
        <v>108</v>
      </c>
      <c r="X92" s="7" t="s">
        <v>137</v>
      </c>
      <c r="Y92" s="7" t="s">
        <v>72</v>
      </c>
      <c r="Z92" s="7" t="s">
        <v>73</v>
      </c>
      <c r="AA92" s="7" t="s">
        <v>110</v>
      </c>
      <c r="AB92" s="7">
        <v>22.54545263085004</v>
      </c>
      <c r="AC92" s="7" t="s">
        <v>111</v>
      </c>
      <c r="AD92" s="7" t="s">
        <v>112</v>
      </c>
      <c r="AE92" s="7">
        <v>26</v>
      </c>
      <c r="AI92" s="7" t="s">
        <v>73</v>
      </c>
      <c r="AJ92" s="7" t="s">
        <v>74</v>
      </c>
      <c r="AK92" s="7" t="s">
        <v>117</v>
      </c>
      <c r="AL92" s="7">
        <v>1.6894754803179299E-2</v>
      </c>
      <c r="AN92" s="7" t="s">
        <v>116</v>
      </c>
      <c r="AO92" s="7">
        <v>2</v>
      </c>
      <c r="AP92" s="7">
        <v>2</v>
      </c>
      <c r="AQ92" s="29">
        <v>2</v>
      </c>
      <c r="AR92" s="7" t="s">
        <v>64</v>
      </c>
      <c r="AS92" s="7" t="s">
        <v>113</v>
      </c>
      <c r="AT92" s="7" t="s">
        <v>91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DEA72-CA1C-432B-A572-49DF63267E64}">
  <dimension ref="A1:AW59"/>
  <sheetViews>
    <sheetView zoomScale="79" zoomScaleNormal="90" workbookViewId="0">
      <selection activeCell="C1" sqref="C1"/>
    </sheetView>
  </sheetViews>
  <sheetFormatPr defaultRowHeight="14.4" x14ac:dyDescent="0.3"/>
  <cols>
    <col min="1" max="1" width="11.109375" bestFit="1" customWidth="1"/>
    <col min="2" max="2" width="7.6640625" bestFit="1" customWidth="1"/>
    <col min="3" max="3" width="34" bestFit="1" customWidth="1"/>
    <col min="4" max="4" width="34.109375" bestFit="1" customWidth="1"/>
    <col min="5" max="5" width="32.109375" bestFit="1" customWidth="1"/>
    <col min="6" max="6" width="9.44140625" bestFit="1" customWidth="1"/>
    <col min="7" max="7" width="18" bestFit="1" customWidth="1"/>
    <col min="8" max="8" width="13" bestFit="1" customWidth="1"/>
    <col min="9" max="9" width="13.6640625" bestFit="1" customWidth="1"/>
    <col min="10" max="10" width="6.6640625" bestFit="1" customWidth="1"/>
    <col min="11" max="11" width="18.109375" bestFit="1" customWidth="1"/>
    <col min="12" max="12" width="12.5546875" bestFit="1" customWidth="1"/>
    <col min="13" max="13" width="16.6640625" bestFit="1" customWidth="1"/>
    <col min="14" max="14" width="18.6640625" bestFit="1" customWidth="1"/>
    <col min="15" max="15" width="15.44140625" bestFit="1" customWidth="1"/>
    <col min="16" max="16" width="16.6640625" bestFit="1" customWidth="1"/>
    <col min="17" max="17" width="8.5546875" bestFit="1" customWidth="1"/>
    <col min="18" max="18" width="23.33203125" bestFit="1" customWidth="1"/>
    <col min="19" max="19" width="22.5546875" bestFit="1" customWidth="1"/>
    <col min="20" max="20" width="21.5546875" customWidth="1"/>
    <col min="21" max="21" width="8.6640625" bestFit="1" customWidth="1"/>
    <col min="22" max="22" width="23.5546875" bestFit="1" customWidth="1"/>
    <col min="23" max="23" width="33.6640625" customWidth="1"/>
    <col min="24" max="27" width="28" customWidth="1"/>
    <col min="28" max="28" width="24.6640625" customWidth="1"/>
    <col min="29" max="29" width="16.6640625" customWidth="1"/>
    <col min="30" max="30" width="18.6640625" customWidth="1"/>
    <col min="31" max="31" width="27.33203125" customWidth="1"/>
    <col min="32" max="32" width="20.21875" customWidth="1"/>
    <col min="33" max="33" width="17.88671875" bestFit="1" customWidth="1"/>
    <col min="34" max="34" width="19.33203125" bestFit="1" customWidth="1"/>
    <col min="35" max="35" width="16.5546875" bestFit="1" customWidth="1"/>
    <col min="36" max="36" width="9.33203125" bestFit="1" customWidth="1"/>
    <col min="37" max="37" width="12" bestFit="1" customWidth="1"/>
    <col min="38" max="38" width="8.109375" bestFit="1" customWidth="1"/>
    <col min="39" max="39" width="11" bestFit="1" customWidth="1"/>
    <col min="40" max="40" width="9" bestFit="1" customWidth="1"/>
    <col min="41" max="41" width="8.6640625" bestFit="1" customWidth="1"/>
    <col min="42" max="42" width="17" bestFit="1" customWidth="1"/>
    <col min="43" max="43" width="16.33203125" bestFit="1" customWidth="1"/>
    <col min="44" max="44" width="17.88671875" bestFit="1" customWidth="1"/>
    <col min="45" max="45" width="15.33203125" bestFit="1" customWidth="1"/>
    <col min="46" max="46" width="11.33203125" bestFit="1" customWidth="1"/>
    <col min="47" max="47" width="13.109375" bestFit="1" customWidth="1"/>
    <col min="48" max="48" width="9.6640625" bestFit="1" customWidth="1"/>
    <col min="49" max="49" width="12" bestFit="1" customWidth="1"/>
  </cols>
  <sheetData>
    <row r="1" spans="1:45" x14ac:dyDescent="0.3">
      <c r="A1" s="2" t="s">
        <v>24</v>
      </c>
      <c r="B1" s="2" t="s">
        <v>25</v>
      </c>
      <c r="C1" s="2" t="s">
        <v>142</v>
      </c>
      <c r="D1" s="2" t="s">
        <v>138</v>
      </c>
      <c r="E1" s="2" t="s">
        <v>141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93</v>
      </c>
      <c r="L1" s="2" t="s">
        <v>32</v>
      </c>
      <c r="M1" s="2" t="s">
        <v>33</v>
      </c>
      <c r="N1" s="2" t="s">
        <v>34</v>
      </c>
      <c r="O1" s="2" t="s">
        <v>35</v>
      </c>
      <c r="P1" s="2" t="s">
        <v>36</v>
      </c>
      <c r="Q1" s="2" t="s">
        <v>37</v>
      </c>
      <c r="R1" s="2" t="s">
        <v>38</v>
      </c>
      <c r="S1" s="2" t="s">
        <v>39</v>
      </c>
      <c r="T1" s="2" t="s">
        <v>40</v>
      </c>
      <c r="U1" s="2" t="s">
        <v>41</v>
      </c>
      <c r="V1" s="2" t="s">
        <v>42</v>
      </c>
      <c r="W1" s="2" t="s">
        <v>59</v>
      </c>
      <c r="X1" s="2" t="s">
        <v>45</v>
      </c>
      <c r="Y1" s="2" t="s">
        <v>46</v>
      </c>
      <c r="Z1" s="2" t="s">
        <v>47</v>
      </c>
      <c r="AA1" s="2" t="s">
        <v>48</v>
      </c>
      <c r="AB1" s="2" t="s">
        <v>94</v>
      </c>
      <c r="AC1" s="2" t="s">
        <v>95</v>
      </c>
      <c r="AD1" s="2" t="s">
        <v>96</v>
      </c>
      <c r="AE1" s="2" t="s">
        <v>97</v>
      </c>
      <c r="AF1" s="2" t="s">
        <v>98</v>
      </c>
      <c r="AG1" s="2" t="s">
        <v>99</v>
      </c>
      <c r="AH1" s="2" t="s">
        <v>46</v>
      </c>
      <c r="AI1" s="2" t="s">
        <v>47</v>
      </c>
      <c r="AJ1" s="2" t="s">
        <v>100</v>
      </c>
      <c r="AK1" s="2" t="s">
        <v>101</v>
      </c>
      <c r="AL1" s="2" t="s">
        <v>49</v>
      </c>
      <c r="AM1" s="2" t="s">
        <v>50</v>
      </c>
      <c r="AN1" s="2" t="s">
        <v>51</v>
      </c>
      <c r="AO1" s="2" t="s">
        <v>52</v>
      </c>
      <c r="AP1" s="2" t="s">
        <v>102</v>
      </c>
      <c r="AQ1" s="2"/>
      <c r="AR1" s="2"/>
      <c r="AS1" s="2"/>
    </row>
    <row r="2" spans="1:45" s="4" customFormat="1" x14ac:dyDescent="0.3">
      <c r="A2" s="4" t="s">
        <v>152</v>
      </c>
      <c r="B2" s="4">
        <v>1</v>
      </c>
      <c r="C2" s="4" t="s">
        <v>82</v>
      </c>
      <c r="F2" s="4" t="s">
        <v>60</v>
      </c>
      <c r="G2" s="4" t="s">
        <v>103</v>
      </c>
      <c r="H2" s="4" t="s">
        <v>60</v>
      </c>
      <c r="J2" s="4">
        <v>2023</v>
      </c>
      <c r="K2" s="4" t="s">
        <v>104</v>
      </c>
      <c r="L2" s="4" t="s">
        <v>105</v>
      </c>
      <c r="M2" s="25">
        <v>1583421</v>
      </c>
      <c r="N2" s="4" t="s">
        <v>64</v>
      </c>
      <c r="O2" s="4" t="s">
        <v>65</v>
      </c>
      <c r="P2" s="4">
        <v>1</v>
      </c>
      <c r="Q2" s="4" t="s">
        <v>66</v>
      </c>
      <c r="R2" s="4" t="s">
        <v>106</v>
      </c>
      <c r="S2" s="4" t="s">
        <v>107</v>
      </c>
      <c r="T2" s="4" t="s">
        <v>108</v>
      </c>
      <c r="U2" s="4" t="s">
        <v>69</v>
      </c>
      <c r="V2" s="4" t="s">
        <v>108</v>
      </c>
      <c r="W2" s="4" t="s">
        <v>109</v>
      </c>
      <c r="X2" s="4" t="s">
        <v>72</v>
      </c>
      <c r="Y2" s="4" t="s">
        <v>73</v>
      </c>
      <c r="Z2" s="4" t="s">
        <v>110</v>
      </c>
      <c r="AA2" s="4">
        <v>17.618707181469951</v>
      </c>
      <c r="AB2" s="4" t="s">
        <v>111</v>
      </c>
      <c r="AC2" s="4" t="s">
        <v>112</v>
      </c>
      <c r="AD2" s="4">
        <v>20</v>
      </c>
      <c r="AH2" s="4" t="s">
        <v>113</v>
      </c>
      <c r="AI2" s="4" t="s">
        <v>114</v>
      </c>
      <c r="AJ2" s="4" t="s">
        <v>115</v>
      </c>
      <c r="AK2" s="4">
        <v>66.419291612678506</v>
      </c>
      <c r="AM2" s="4" t="s">
        <v>116</v>
      </c>
      <c r="AN2" s="4">
        <v>2</v>
      </c>
      <c r="AO2" s="4">
        <v>2</v>
      </c>
      <c r="AP2" s="26">
        <v>7</v>
      </c>
    </row>
    <row r="3" spans="1:45" s="4" customFormat="1" x14ac:dyDescent="0.3">
      <c r="A3" s="4" t="s">
        <v>152</v>
      </c>
      <c r="B3" s="4">
        <v>1</v>
      </c>
      <c r="C3" s="4" t="s">
        <v>82</v>
      </c>
      <c r="F3" s="4" t="s">
        <v>60</v>
      </c>
      <c r="G3" s="4" t="s">
        <v>103</v>
      </c>
      <c r="H3" s="4" t="s">
        <v>60</v>
      </c>
      <c r="J3" s="4">
        <v>2023</v>
      </c>
      <c r="K3" s="4" t="s">
        <v>104</v>
      </c>
      <c r="L3" s="4" t="s">
        <v>105</v>
      </c>
      <c r="M3" s="25">
        <v>1583421</v>
      </c>
      <c r="N3" s="4" t="s">
        <v>64</v>
      </c>
      <c r="O3" s="4" t="s">
        <v>65</v>
      </c>
      <c r="P3" s="4">
        <v>1</v>
      </c>
      <c r="Q3" s="4" t="s">
        <v>66</v>
      </c>
      <c r="R3" s="4" t="s">
        <v>106</v>
      </c>
      <c r="S3" s="4" t="s">
        <v>107</v>
      </c>
      <c r="T3" s="4" t="s">
        <v>108</v>
      </c>
      <c r="U3" s="4" t="s">
        <v>69</v>
      </c>
      <c r="V3" s="4" t="s">
        <v>108</v>
      </c>
      <c r="W3" s="4" t="s">
        <v>109</v>
      </c>
      <c r="X3" s="4" t="s">
        <v>72</v>
      </c>
      <c r="Y3" s="4" t="s">
        <v>73</v>
      </c>
      <c r="Z3" s="4" t="s">
        <v>110</v>
      </c>
      <c r="AA3" s="4">
        <v>17.618707181469951</v>
      </c>
      <c r="AB3" s="4" t="s">
        <v>111</v>
      </c>
      <c r="AC3" s="4" t="s">
        <v>112</v>
      </c>
      <c r="AD3" s="4">
        <v>21</v>
      </c>
      <c r="AH3" s="4" t="s">
        <v>113</v>
      </c>
      <c r="AI3" s="4" t="s">
        <v>114</v>
      </c>
      <c r="AJ3" s="4" t="s">
        <v>115</v>
      </c>
      <c r="AK3" s="4">
        <v>97.061159346958206</v>
      </c>
      <c r="AM3" s="4" t="s">
        <v>116</v>
      </c>
      <c r="AN3" s="4">
        <v>2</v>
      </c>
      <c r="AO3" s="4">
        <v>2</v>
      </c>
      <c r="AP3" s="26">
        <v>10</v>
      </c>
    </row>
    <row r="4" spans="1:45" s="4" customFormat="1" x14ac:dyDescent="0.3">
      <c r="A4" s="4" t="s">
        <v>152</v>
      </c>
      <c r="B4" s="4">
        <v>1</v>
      </c>
      <c r="C4" s="4" t="s">
        <v>82</v>
      </c>
      <c r="F4" s="4" t="s">
        <v>60</v>
      </c>
      <c r="G4" s="4" t="s">
        <v>103</v>
      </c>
      <c r="H4" s="4" t="s">
        <v>60</v>
      </c>
      <c r="J4" s="4">
        <v>2023</v>
      </c>
      <c r="K4" s="4" t="s">
        <v>104</v>
      </c>
      <c r="L4" s="4" t="s">
        <v>105</v>
      </c>
      <c r="M4" s="25">
        <v>1583421</v>
      </c>
      <c r="N4" s="4" t="s">
        <v>64</v>
      </c>
      <c r="O4" s="4" t="s">
        <v>65</v>
      </c>
      <c r="P4" s="4">
        <v>1</v>
      </c>
      <c r="Q4" s="4" t="s">
        <v>66</v>
      </c>
      <c r="R4" s="4" t="s">
        <v>106</v>
      </c>
      <c r="S4" s="4" t="s">
        <v>107</v>
      </c>
      <c r="T4" s="4" t="s">
        <v>108</v>
      </c>
      <c r="U4" s="4" t="s">
        <v>69</v>
      </c>
      <c r="V4" s="4" t="s">
        <v>108</v>
      </c>
      <c r="W4" s="4" t="s">
        <v>109</v>
      </c>
      <c r="X4" s="4" t="s">
        <v>72</v>
      </c>
      <c r="Y4" s="4" t="s">
        <v>73</v>
      </c>
      <c r="Z4" s="4" t="s">
        <v>110</v>
      </c>
      <c r="AA4" s="4">
        <v>17.618707181469951</v>
      </c>
      <c r="AB4" s="4" t="s">
        <v>111</v>
      </c>
      <c r="AC4" s="4" t="s">
        <v>112</v>
      </c>
      <c r="AD4" s="4">
        <v>22</v>
      </c>
      <c r="AH4" s="4" t="s">
        <v>113</v>
      </c>
      <c r="AI4" s="4" t="s">
        <v>114</v>
      </c>
      <c r="AJ4" s="4" t="s">
        <v>115</v>
      </c>
      <c r="AK4" s="4">
        <v>31.109037281028701</v>
      </c>
      <c r="AM4" s="4" t="s">
        <v>116</v>
      </c>
      <c r="AN4" s="4">
        <v>2</v>
      </c>
      <c r="AO4" s="4">
        <v>2</v>
      </c>
      <c r="AP4" s="26">
        <v>3</v>
      </c>
    </row>
    <row r="5" spans="1:45" s="4" customFormat="1" x14ac:dyDescent="0.3">
      <c r="A5" s="4" t="s">
        <v>152</v>
      </c>
      <c r="B5" s="4">
        <v>1</v>
      </c>
      <c r="C5" s="4" t="s">
        <v>82</v>
      </c>
      <c r="F5" s="4" t="s">
        <v>60</v>
      </c>
      <c r="G5" s="4" t="s">
        <v>103</v>
      </c>
      <c r="H5" s="4" t="s">
        <v>60</v>
      </c>
      <c r="J5" s="4">
        <v>2023</v>
      </c>
      <c r="K5" s="4" t="s">
        <v>104</v>
      </c>
      <c r="L5" s="4" t="s">
        <v>105</v>
      </c>
      <c r="M5" s="25">
        <v>1583421</v>
      </c>
      <c r="N5" s="4" t="s">
        <v>64</v>
      </c>
      <c r="O5" s="4" t="s">
        <v>65</v>
      </c>
      <c r="P5" s="4">
        <v>1</v>
      </c>
      <c r="Q5" s="4" t="s">
        <v>66</v>
      </c>
      <c r="R5" s="4" t="s">
        <v>106</v>
      </c>
      <c r="S5" s="4" t="s">
        <v>107</v>
      </c>
      <c r="T5" s="4" t="s">
        <v>108</v>
      </c>
      <c r="U5" s="4" t="s">
        <v>69</v>
      </c>
      <c r="V5" s="4" t="s">
        <v>108</v>
      </c>
      <c r="W5" s="4" t="s">
        <v>109</v>
      </c>
      <c r="X5" s="4" t="s">
        <v>72</v>
      </c>
      <c r="Y5" s="4" t="s">
        <v>73</v>
      </c>
      <c r="Z5" s="4" t="s">
        <v>110</v>
      </c>
      <c r="AA5" s="4">
        <v>17.618707181469951</v>
      </c>
      <c r="AB5" s="4" t="s">
        <v>111</v>
      </c>
      <c r="AC5" s="4" t="s">
        <v>112</v>
      </c>
      <c r="AD5" s="4">
        <v>23</v>
      </c>
      <c r="AH5" s="4" t="s">
        <v>113</v>
      </c>
      <c r="AI5" s="4" t="s">
        <v>114</v>
      </c>
      <c r="AJ5" s="4" t="s">
        <v>115</v>
      </c>
      <c r="AK5" s="4">
        <v>294.43272416422002</v>
      </c>
      <c r="AM5" s="4" t="s">
        <v>116</v>
      </c>
      <c r="AN5" s="4">
        <v>2</v>
      </c>
      <c r="AO5" s="4">
        <v>2</v>
      </c>
      <c r="AP5" s="26">
        <v>29</v>
      </c>
    </row>
    <row r="6" spans="1:45" s="4" customFormat="1" x14ac:dyDescent="0.3">
      <c r="A6" s="4" t="s">
        <v>152</v>
      </c>
      <c r="B6" s="4">
        <v>1</v>
      </c>
      <c r="C6" s="4" t="s">
        <v>82</v>
      </c>
      <c r="F6" s="4" t="s">
        <v>60</v>
      </c>
      <c r="G6" s="4" t="s">
        <v>103</v>
      </c>
      <c r="H6" s="4" t="s">
        <v>60</v>
      </c>
      <c r="J6" s="4">
        <v>2023</v>
      </c>
      <c r="K6" s="4" t="s">
        <v>104</v>
      </c>
      <c r="L6" s="4" t="s">
        <v>105</v>
      </c>
      <c r="M6" s="25">
        <v>1583421</v>
      </c>
      <c r="N6" s="4" t="s">
        <v>64</v>
      </c>
      <c r="O6" s="4" t="s">
        <v>65</v>
      </c>
      <c r="P6" s="4">
        <v>1</v>
      </c>
      <c r="Q6" s="4" t="s">
        <v>66</v>
      </c>
      <c r="R6" s="4" t="s">
        <v>106</v>
      </c>
      <c r="S6" s="4" t="s">
        <v>107</v>
      </c>
      <c r="T6" s="4" t="s">
        <v>108</v>
      </c>
      <c r="U6" s="4" t="s">
        <v>69</v>
      </c>
      <c r="V6" s="4" t="s">
        <v>108</v>
      </c>
      <c r="W6" s="4" t="s">
        <v>109</v>
      </c>
      <c r="X6" s="4" t="s">
        <v>72</v>
      </c>
      <c r="Y6" s="4" t="s">
        <v>73</v>
      </c>
      <c r="Z6" s="4" t="s">
        <v>110</v>
      </c>
      <c r="AA6" s="4">
        <v>17.618707181469951</v>
      </c>
      <c r="AB6" s="4" t="s">
        <v>111</v>
      </c>
      <c r="AC6" s="4" t="s">
        <v>112</v>
      </c>
      <c r="AD6" s="4">
        <v>24</v>
      </c>
      <c r="AH6" s="4" t="s">
        <v>113</v>
      </c>
      <c r="AI6" s="4" t="s">
        <v>114</v>
      </c>
      <c r="AJ6" s="4" t="s">
        <v>115</v>
      </c>
      <c r="AK6" s="4">
        <v>437.30124909118098</v>
      </c>
      <c r="AM6" s="4" t="s">
        <v>116</v>
      </c>
      <c r="AN6" s="4">
        <v>2</v>
      </c>
      <c r="AO6" s="4">
        <v>2</v>
      </c>
      <c r="AP6" s="26">
        <v>44</v>
      </c>
    </row>
    <row r="7" spans="1:45" s="4" customFormat="1" x14ac:dyDescent="0.3">
      <c r="A7" s="4" t="s">
        <v>152</v>
      </c>
      <c r="B7" s="4">
        <v>1</v>
      </c>
      <c r="C7" s="4" t="s">
        <v>82</v>
      </c>
      <c r="F7" s="4" t="s">
        <v>60</v>
      </c>
      <c r="G7" s="4" t="s">
        <v>103</v>
      </c>
      <c r="H7" s="4" t="s">
        <v>60</v>
      </c>
      <c r="J7" s="4">
        <v>2023</v>
      </c>
      <c r="K7" s="4" t="s">
        <v>104</v>
      </c>
      <c r="L7" s="4" t="s">
        <v>105</v>
      </c>
      <c r="M7" s="25">
        <v>1583421</v>
      </c>
      <c r="N7" s="4" t="s">
        <v>64</v>
      </c>
      <c r="O7" s="4" t="s">
        <v>65</v>
      </c>
      <c r="P7" s="4">
        <v>1</v>
      </c>
      <c r="Q7" s="4" t="s">
        <v>66</v>
      </c>
      <c r="R7" s="4" t="s">
        <v>106</v>
      </c>
      <c r="S7" s="4" t="s">
        <v>107</v>
      </c>
      <c r="T7" s="4" t="s">
        <v>108</v>
      </c>
      <c r="U7" s="4" t="s">
        <v>69</v>
      </c>
      <c r="V7" s="4" t="s">
        <v>108</v>
      </c>
      <c r="W7" s="4" t="s">
        <v>109</v>
      </c>
      <c r="X7" s="4" t="s">
        <v>72</v>
      </c>
      <c r="Y7" s="4" t="s">
        <v>73</v>
      </c>
      <c r="Z7" s="4" t="s">
        <v>110</v>
      </c>
      <c r="AA7" s="4">
        <v>17.618707181469951</v>
      </c>
      <c r="AB7" s="4" t="s">
        <v>111</v>
      </c>
      <c r="AC7" s="4" t="s">
        <v>112</v>
      </c>
      <c r="AD7" s="4">
        <v>25</v>
      </c>
      <c r="AH7" s="4" t="s">
        <v>113</v>
      </c>
      <c r="AI7" s="4" t="s">
        <v>114</v>
      </c>
      <c r="AJ7" s="4" t="s">
        <v>115</v>
      </c>
      <c r="AK7" s="4">
        <v>498.77940332288699</v>
      </c>
      <c r="AM7" s="4" t="s">
        <v>116</v>
      </c>
      <c r="AN7" s="4">
        <v>2</v>
      </c>
      <c r="AO7" s="4">
        <v>2</v>
      </c>
      <c r="AP7" s="26">
        <v>50</v>
      </c>
    </row>
    <row r="8" spans="1:45" s="4" customFormat="1" x14ac:dyDescent="0.3">
      <c r="A8" s="4" t="s">
        <v>152</v>
      </c>
      <c r="B8" s="4">
        <v>1</v>
      </c>
      <c r="C8" s="4" t="s">
        <v>82</v>
      </c>
      <c r="F8" s="4" t="s">
        <v>60</v>
      </c>
      <c r="G8" s="4" t="s">
        <v>103</v>
      </c>
      <c r="H8" s="4" t="s">
        <v>60</v>
      </c>
      <c r="J8" s="4">
        <v>2023</v>
      </c>
      <c r="K8" s="4" t="s">
        <v>104</v>
      </c>
      <c r="L8" s="4" t="s">
        <v>105</v>
      </c>
      <c r="M8" s="25">
        <v>1583421</v>
      </c>
      <c r="N8" s="4" t="s">
        <v>64</v>
      </c>
      <c r="O8" s="4" t="s">
        <v>65</v>
      </c>
      <c r="P8" s="4">
        <v>1</v>
      </c>
      <c r="Q8" s="4" t="s">
        <v>66</v>
      </c>
      <c r="R8" s="4" t="s">
        <v>106</v>
      </c>
      <c r="S8" s="4" t="s">
        <v>107</v>
      </c>
      <c r="T8" s="4" t="s">
        <v>108</v>
      </c>
      <c r="U8" s="4" t="s">
        <v>69</v>
      </c>
      <c r="V8" s="4" t="s">
        <v>108</v>
      </c>
      <c r="W8" s="4" t="s">
        <v>109</v>
      </c>
      <c r="X8" s="4" t="s">
        <v>72</v>
      </c>
      <c r="Y8" s="4" t="s">
        <v>73</v>
      </c>
      <c r="Z8" s="4" t="s">
        <v>110</v>
      </c>
      <c r="AA8" s="4">
        <v>17.618707181469951</v>
      </c>
      <c r="AB8" s="4" t="s">
        <v>111</v>
      </c>
      <c r="AC8" s="4" t="s">
        <v>112</v>
      </c>
      <c r="AD8" s="4">
        <v>26</v>
      </c>
      <c r="AH8" s="4" t="s">
        <v>113</v>
      </c>
      <c r="AI8" s="4" t="s">
        <v>114</v>
      </c>
      <c r="AJ8" s="4" t="s">
        <v>115</v>
      </c>
      <c r="AK8" s="4">
        <v>471.07125744092502</v>
      </c>
      <c r="AM8" s="4" t="s">
        <v>116</v>
      </c>
      <c r="AN8" s="4">
        <v>2</v>
      </c>
      <c r="AO8" s="4">
        <v>2</v>
      </c>
      <c r="AP8" s="26">
        <v>47</v>
      </c>
    </row>
    <row r="9" spans="1:45" s="4" customFormat="1" x14ac:dyDescent="0.3">
      <c r="A9" s="4" t="s">
        <v>152</v>
      </c>
      <c r="B9" s="4">
        <v>1</v>
      </c>
      <c r="C9" s="4" t="s">
        <v>82</v>
      </c>
      <c r="F9" s="4" t="s">
        <v>60</v>
      </c>
      <c r="G9" s="4" t="s">
        <v>103</v>
      </c>
      <c r="H9" s="4" t="s">
        <v>60</v>
      </c>
      <c r="J9" s="4">
        <v>2023</v>
      </c>
      <c r="K9" s="4" t="s">
        <v>104</v>
      </c>
      <c r="L9" s="4" t="s">
        <v>105</v>
      </c>
      <c r="M9" s="25">
        <v>1583421</v>
      </c>
      <c r="N9" s="4" t="s">
        <v>64</v>
      </c>
      <c r="O9" s="4" t="s">
        <v>65</v>
      </c>
      <c r="P9" s="4">
        <v>1</v>
      </c>
      <c r="Q9" s="4" t="s">
        <v>66</v>
      </c>
      <c r="R9" s="4" t="s">
        <v>106</v>
      </c>
      <c r="S9" s="4" t="s">
        <v>107</v>
      </c>
      <c r="T9" s="4" t="s">
        <v>108</v>
      </c>
      <c r="U9" s="4" t="s">
        <v>69</v>
      </c>
      <c r="V9" s="4" t="s">
        <v>108</v>
      </c>
      <c r="W9" s="4" t="s">
        <v>109</v>
      </c>
      <c r="X9" s="4" t="s">
        <v>72</v>
      </c>
      <c r="Y9" s="4" t="s">
        <v>73</v>
      </c>
      <c r="Z9" s="4" t="s">
        <v>110</v>
      </c>
      <c r="AA9" s="4">
        <v>17.618707181469951</v>
      </c>
      <c r="AB9" s="4" t="s">
        <v>111</v>
      </c>
      <c r="AC9" s="4" t="s">
        <v>112</v>
      </c>
      <c r="AD9" s="4">
        <v>20</v>
      </c>
      <c r="AH9" s="4" t="s">
        <v>73</v>
      </c>
      <c r="AI9" s="4" t="s">
        <v>74</v>
      </c>
      <c r="AJ9" s="4" t="s">
        <v>117</v>
      </c>
      <c r="AK9" s="4">
        <v>5.4675291723273898E-3</v>
      </c>
      <c r="AM9" s="4" t="s">
        <v>116</v>
      </c>
      <c r="AN9" s="4">
        <v>2</v>
      </c>
      <c r="AO9" s="4">
        <v>2</v>
      </c>
      <c r="AP9" s="26">
        <v>7</v>
      </c>
    </row>
    <row r="10" spans="1:45" s="4" customFormat="1" x14ac:dyDescent="0.3">
      <c r="A10" s="4" t="s">
        <v>152</v>
      </c>
      <c r="B10" s="4">
        <v>1</v>
      </c>
      <c r="C10" s="4" t="s">
        <v>82</v>
      </c>
      <c r="F10" s="4" t="s">
        <v>60</v>
      </c>
      <c r="G10" s="4" t="s">
        <v>103</v>
      </c>
      <c r="H10" s="4" t="s">
        <v>60</v>
      </c>
      <c r="J10" s="4">
        <v>2023</v>
      </c>
      <c r="K10" s="4" t="s">
        <v>104</v>
      </c>
      <c r="L10" s="4" t="s">
        <v>105</v>
      </c>
      <c r="M10" s="25">
        <v>1583421</v>
      </c>
      <c r="N10" s="4" t="s">
        <v>64</v>
      </c>
      <c r="O10" s="4" t="s">
        <v>65</v>
      </c>
      <c r="P10" s="4">
        <v>1</v>
      </c>
      <c r="Q10" s="4" t="s">
        <v>66</v>
      </c>
      <c r="R10" s="4" t="s">
        <v>106</v>
      </c>
      <c r="S10" s="4" t="s">
        <v>107</v>
      </c>
      <c r="T10" s="4" t="s">
        <v>108</v>
      </c>
      <c r="U10" s="4" t="s">
        <v>69</v>
      </c>
      <c r="V10" s="4" t="s">
        <v>108</v>
      </c>
      <c r="W10" s="4" t="s">
        <v>109</v>
      </c>
      <c r="X10" s="4" t="s">
        <v>72</v>
      </c>
      <c r="Y10" s="4" t="s">
        <v>73</v>
      </c>
      <c r="Z10" s="4" t="s">
        <v>110</v>
      </c>
      <c r="AA10" s="4">
        <v>17.618707181469951</v>
      </c>
      <c r="AB10" s="4" t="s">
        <v>111</v>
      </c>
      <c r="AC10" s="4" t="s">
        <v>112</v>
      </c>
      <c r="AD10" s="4">
        <v>21</v>
      </c>
      <c r="AH10" s="4" t="s">
        <v>73</v>
      </c>
      <c r="AI10" s="4" t="s">
        <v>74</v>
      </c>
      <c r="AJ10" s="4" t="s">
        <v>117</v>
      </c>
      <c r="AK10" s="4">
        <v>6.1144567118773E-3</v>
      </c>
      <c r="AM10" s="4" t="s">
        <v>116</v>
      </c>
      <c r="AN10" s="4">
        <v>2</v>
      </c>
      <c r="AO10" s="4">
        <v>2</v>
      </c>
      <c r="AP10" s="26">
        <v>10</v>
      </c>
    </row>
    <row r="11" spans="1:45" s="4" customFormat="1" x14ac:dyDescent="0.3">
      <c r="A11" s="4" t="s">
        <v>152</v>
      </c>
      <c r="B11" s="4">
        <v>1</v>
      </c>
      <c r="C11" s="4" t="s">
        <v>82</v>
      </c>
      <c r="F11" s="4" t="s">
        <v>60</v>
      </c>
      <c r="G11" s="4" t="s">
        <v>103</v>
      </c>
      <c r="H11" s="4" t="s">
        <v>60</v>
      </c>
      <c r="J11" s="4">
        <v>2023</v>
      </c>
      <c r="K11" s="4" t="s">
        <v>104</v>
      </c>
      <c r="L11" s="4" t="s">
        <v>105</v>
      </c>
      <c r="M11" s="25">
        <v>1583421</v>
      </c>
      <c r="N11" s="4" t="s">
        <v>64</v>
      </c>
      <c r="O11" s="4" t="s">
        <v>65</v>
      </c>
      <c r="P11" s="4">
        <v>1</v>
      </c>
      <c r="Q11" s="4" t="s">
        <v>66</v>
      </c>
      <c r="R11" s="4" t="s">
        <v>106</v>
      </c>
      <c r="S11" s="4" t="s">
        <v>107</v>
      </c>
      <c r="T11" s="4" t="s">
        <v>108</v>
      </c>
      <c r="U11" s="4" t="s">
        <v>69</v>
      </c>
      <c r="V11" s="4" t="s">
        <v>108</v>
      </c>
      <c r="W11" s="4" t="s">
        <v>109</v>
      </c>
      <c r="X11" s="4" t="s">
        <v>72</v>
      </c>
      <c r="Y11" s="4" t="s">
        <v>73</v>
      </c>
      <c r="Z11" s="4" t="s">
        <v>110</v>
      </c>
      <c r="AA11" s="4">
        <v>17.618707181469951</v>
      </c>
      <c r="AB11" s="4" t="s">
        <v>111</v>
      </c>
      <c r="AC11" s="4" t="s">
        <v>112</v>
      </c>
      <c r="AD11" s="4">
        <v>22</v>
      </c>
      <c r="AH11" s="4" t="s">
        <v>73</v>
      </c>
      <c r="AI11" s="4" t="s">
        <v>74</v>
      </c>
      <c r="AJ11" s="4" t="s">
        <v>117</v>
      </c>
      <c r="AK11" s="4">
        <v>6.9160162542765101E-3</v>
      </c>
      <c r="AM11" s="4" t="s">
        <v>116</v>
      </c>
      <c r="AN11" s="4">
        <v>2</v>
      </c>
      <c r="AO11" s="4">
        <v>2</v>
      </c>
      <c r="AP11" s="26">
        <v>3</v>
      </c>
    </row>
    <row r="12" spans="1:45" s="4" customFormat="1" x14ac:dyDescent="0.3">
      <c r="A12" s="4" t="s">
        <v>152</v>
      </c>
      <c r="B12" s="4">
        <v>1</v>
      </c>
      <c r="C12" s="4" t="s">
        <v>82</v>
      </c>
      <c r="F12" s="4" t="s">
        <v>60</v>
      </c>
      <c r="G12" s="4" t="s">
        <v>103</v>
      </c>
      <c r="H12" s="4" t="s">
        <v>60</v>
      </c>
      <c r="J12" s="4">
        <v>2023</v>
      </c>
      <c r="K12" s="4" t="s">
        <v>104</v>
      </c>
      <c r="L12" s="4" t="s">
        <v>105</v>
      </c>
      <c r="M12" s="25">
        <v>1583421</v>
      </c>
      <c r="N12" s="4" t="s">
        <v>64</v>
      </c>
      <c r="O12" s="4" t="s">
        <v>65</v>
      </c>
      <c r="P12" s="4">
        <v>1</v>
      </c>
      <c r="Q12" s="4" t="s">
        <v>66</v>
      </c>
      <c r="R12" s="4" t="s">
        <v>106</v>
      </c>
      <c r="S12" s="4" t="s">
        <v>107</v>
      </c>
      <c r="T12" s="4" t="s">
        <v>108</v>
      </c>
      <c r="U12" s="4" t="s">
        <v>69</v>
      </c>
      <c r="V12" s="4" t="s">
        <v>108</v>
      </c>
      <c r="W12" s="4" t="s">
        <v>109</v>
      </c>
      <c r="X12" s="4" t="s">
        <v>72</v>
      </c>
      <c r="Y12" s="4" t="s">
        <v>73</v>
      </c>
      <c r="Z12" s="4" t="s">
        <v>110</v>
      </c>
      <c r="AA12" s="4">
        <v>17.618707181469951</v>
      </c>
      <c r="AB12" s="4" t="s">
        <v>111</v>
      </c>
      <c r="AC12" s="4" t="s">
        <v>112</v>
      </c>
      <c r="AD12" s="4">
        <v>23</v>
      </c>
      <c r="AH12" s="4" t="s">
        <v>73</v>
      </c>
      <c r="AI12" s="4" t="s">
        <v>74</v>
      </c>
      <c r="AJ12" s="4" t="s">
        <v>117</v>
      </c>
      <c r="AK12" s="4">
        <v>7.9270867728723996E-3</v>
      </c>
      <c r="AM12" s="4" t="s">
        <v>116</v>
      </c>
      <c r="AN12" s="4">
        <v>2</v>
      </c>
      <c r="AO12" s="4">
        <v>2</v>
      </c>
      <c r="AP12" s="26">
        <v>29</v>
      </c>
    </row>
    <row r="13" spans="1:45" s="4" customFormat="1" x14ac:dyDescent="0.3">
      <c r="A13" s="4" t="s">
        <v>152</v>
      </c>
      <c r="B13" s="4">
        <v>1</v>
      </c>
      <c r="C13" s="4" t="s">
        <v>82</v>
      </c>
      <c r="F13" s="4" t="s">
        <v>60</v>
      </c>
      <c r="G13" s="4" t="s">
        <v>103</v>
      </c>
      <c r="H13" s="4" t="s">
        <v>60</v>
      </c>
      <c r="J13" s="4">
        <v>2023</v>
      </c>
      <c r="K13" s="4" t="s">
        <v>104</v>
      </c>
      <c r="L13" s="4" t="s">
        <v>105</v>
      </c>
      <c r="M13" s="25">
        <v>1583421</v>
      </c>
      <c r="N13" s="4" t="s">
        <v>64</v>
      </c>
      <c r="O13" s="4" t="s">
        <v>65</v>
      </c>
      <c r="P13" s="4">
        <v>1</v>
      </c>
      <c r="Q13" s="4" t="s">
        <v>66</v>
      </c>
      <c r="R13" s="4" t="s">
        <v>106</v>
      </c>
      <c r="S13" s="4" t="s">
        <v>107</v>
      </c>
      <c r="T13" s="4" t="s">
        <v>108</v>
      </c>
      <c r="U13" s="4" t="s">
        <v>69</v>
      </c>
      <c r="V13" s="4" t="s">
        <v>108</v>
      </c>
      <c r="W13" s="4" t="s">
        <v>109</v>
      </c>
      <c r="X13" s="4" t="s">
        <v>72</v>
      </c>
      <c r="Y13" s="4" t="s">
        <v>73</v>
      </c>
      <c r="Z13" s="4" t="s">
        <v>110</v>
      </c>
      <c r="AA13" s="4">
        <v>17.618707181469951</v>
      </c>
      <c r="AB13" s="4" t="s">
        <v>111</v>
      </c>
      <c r="AC13" s="4" t="s">
        <v>112</v>
      </c>
      <c r="AD13" s="4">
        <v>24</v>
      </c>
      <c r="AH13" s="4" t="s">
        <v>73</v>
      </c>
      <c r="AI13" s="4" t="s">
        <v>74</v>
      </c>
      <c r="AJ13" s="4" t="s">
        <v>117</v>
      </c>
      <c r="AK13" s="4">
        <v>8.8453217608713899E-3</v>
      </c>
      <c r="AM13" s="4" t="s">
        <v>116</v>
      </c>
      <c r="AN13" s="4">
        <v>2</v>
      </c>
      <c r="AO13" s="4">
        <v>2</v>
      </c>
      <c r="AP13" s="26">
        <v>44</v>
      </c>
    </row>
    <row r="14" spans="1:45" s="4" customFormat="1" x14ac:dyDescent="0.3">
      <c r="A14" s="4" t="s">
        <v>152</v>
      </c>
      <c r="B14" s="4">
        <v>1</v>
      </c>
      <c r="C14" s="4" t="s">
        <v>82</v>
      </c>
      <c r="F14" s="4" t="s">
        <v>60</v>
      </c>
      <c r="G14" s="4" t="s">
        <v>103</v>
      </c>
      <c r="H14" s="4" t="s">
        <v>60</v>
      </c>
      <c r="J14" s="4">
        <v>2023</v>
      </c>
      <c r="K14" s="4" t="s">
        <v>104</v>
      </c>
      <c r="L14" s="4" t="s">
        <v>105</v>
      </c>
      <c r="M14" s="25">
        <v>1583421</v>
      </c>
      <c r="N14" s="4" t="s">
        <v>64</v>
      </c>
      <c r="O14" s="4" t="s">
        <v>65</v>
      </c>
      <c r="P14" s="4">
        <v>1</v>
      </c>
      <c r="Q14" s="4" t="s">
        <v>66</v>
      </c>
      <c r="R14" s="4" t="s">
        <v>106</v>
      </c>
      <c r="S14" s="4" t="s">
        <v>107</v>
      </c>
      <c r="T14" s="4" t="s">
        <v>108</v>
      </c>
      <c r="U14" s="4" t="s">
        <v>69</v>
      </c>
      <c r="V14" s="4" t="s">
        <v>108</v>
      </c>
      <c r="W14" s="4" t="s">
        <v>109</v>
      </c>
      <c r="X14" s="4" t="s">
        <v>72</v>
      </c>
      <c r="Y14" s="4" t="s">
        <v>73</v>
      </c>
      <c r="Z14" s="4" t="s">
        <v>110</v>
      </c>
      <c r="AA14" s="4">
        <v>17.618707181469951</v>
      </c>
      <c r="AB14" s="4" t="s">
        <v>111</v>
      </c>
      <c r="AC14" s="4" t="s">
        <v>112</v>
      </c>
      <c r="AD14" s="4">
        <v>25</v>
      </c>
      <c r="AH14" s="4" t="s">
        <v>73</v>
      </c>
      <c r="AI14" s="4" t="s">
        <v>74</v>
      </c>
      <c r="AJ14" s="4" t="s">
        <v>117</v>
      </c>
      <c r="AK14" s="4">
        <v>1.0010946123341E-2</v>
      </c>
      <c r="AM14" s="4" t="s">
        <v>116</v>
      </c>
      <c r="AN14" s="4">
        <v>2</v>
      </c>
      <c r="AO14" s="4">
        <v>2</v>
      </c>
      <c r="AP14" s="26">
        <v>50</v>
      </c>
    </row>
    <row r="15" spans="1:45" s="4" customFormat="1" x14ac:dyDescent="0.3">
      <c r="A15" s="4" t="s">
        <v>152</v>
      </c>
      <c r="B15" s="4">
        <v>1</v>
      </c>
      <c r="C15" s="4" t="s">
        <v>82</v>
      </c>
      <c r="F15" s="4" t="s">
        <v>60</v>
      </c>
      <c r="G15" s="4" t="s">
        <v>103</v>
      </c>
      <c r="H15" s="4" t="s">
        <v>60</v>
      </c>
      <c r="J15" s="4">
        <v>2023</v>
      </c>
      <c r="K15" s="4" t="s">
        <v>104</v>
      </c>
      <c r="L15" s="4" t="s">
        <v>105</v>
      </c>
      <c r="M15" s="25">
        <v>1583421</v>
      </c>
      <c r="N15" s="4" t="s">
        <v>64</v>
      </c>
      <c r="O15" s="4" t="s">
        <v>65</v>
      </c>
      <c r="P15" s="4">
        <v>1</v>
      </c>
      <c r="Q15" s="4" t="s">
        <v>66</v>
      </c>
      <c r="R15" s="4" t="s">
        <v>106</v>
      </c>
      <c r="S15" s="4" t="s">
        <v>107</v>
      </c>
      <c r="T15" s="4" t="s">
        <v>108</v>
      </c>
      <c r="U15" s="4" t="s">
        <v>69</v>
      </c>
      <c r="V15" s="4" t="s">
        <v>108</v>
      </c>
      <c r="W15" s="4" t="s">
        <v>109</v>
      </c>
      <c r="X15" s="4" t="s">
        <v>72</v>
      </c>
      <c r="Y15" s="4" t="s">
        <v>73</v>
      </c>
      <c r="Z15" s="4" t="s">
        <v>110</v>
      </c>
      <c r="AA15" s="4">
        <v>17.618707181469951</v>
      </c>
      <c r="AB15" s="4" t="s">
        <v>111</v>
      </c>
      <c r="AC15" s="4" t="s">
        <v>112</v>
      </c>
      <c r="AD15" s="4">
        <v>26</v>
      </c>
      <c r="AH15" s="4" t="s">
        <v>73</v>
      </c>
      <c r="AI15" s="4" t="s">
        <v>74</v>
      </c>
      <c r="AJ15" s="4" t="s">
        <v>117</v>
      </c>
      <c r="AK15" s="4">
        <v>1.1148235171078699E-2</v>
      </c>
      <c r="AM15" s="4" t="s">
        <v>116</v>
      </c>
      <c r="AN15" s="4">
        <v>2</v>
      </c>
      <c r="AO15" s="4">
        <v>2</v>
      </c>
      <c r="AP15" s="26">
        <v>47</v>
      </c>
    </row>
    <row r="16" spans="1:45" s="4" customFormat="1" x14ac:dyDescent="0.3">
      <c r="A16" s="4" t="s">
        <v>152</v>
      </c>
      <c r="B16" s="4">
        <v>1</v>
      </c>
      <c r="C16" s="4" t="s">
        <v>82</v>
      </c>
      <c r="F16" s="4" t="s">
        <v>60</v>
      </c>
      <c r="G16" s="4" t="s">
        <v>103</v>
      </c>
      <c r="H16" s="4" t="s">
        <v>60</v>
      </c>
      <c r="J16" s="4">
        <v>2023</v>
      </c>
      <c r="K16" s="4" t="s">
        <v>104</v>
      </c>
      <c r="L16" s="4" t="s">
        <v>105</v>
      </c>
      <c r="M16" s="25">
        <v>1583421</v>
      </c>
      <c r="N16" s="4" t="s">
        <v>64</v>
      </c>
      <c r="O16" s="4" t="s">
        <v>65</v>
      </c>
      <c r="P16" s="4">
        <v>3</v>
      </c>
      <c r="Q16" s="4" t="s">
        <v>66</v>
      </c>
      <c r="R16" s="4" t="s">
        <v>106</v>
      </c>
      <c r="S16" s="4" t="s">
        <v>107</v>
      </c>
      <c r="T16" s="4" t="s">
        <v>108</v>
      </c>
      <c r="U16" s="4" t="s">
        <v>69</v>
      </c>
      <c r="V16" s="4" t="s">
        <v>108</v>
      </c>
      <c r="W16" s="4" t="s">
        <v>118</v>
      </c>
      <c r="X16" s="4" t="s">
        <v>72</v>
      </c>
      <c r="Y16" s="4" t="s">
        <v>73</v>
      </c>
      <c r="Z16" s="4" t="s">
        <v>110</v>
      </c>
      <c r="AA16" s="4">
        <v>22.54545263085004</v>
      </c>
      <c r="AB16" s="4" t="s">
        <v>111</v>
      </c>
      <c r="AC16" s="4" t="s">
        <v>112</v>
      </c>
      <c r="AD16" s="4">
        <v>17</v>
      </c>
      <c r="AH16" s="4" t="s">
        <v>113</v>
      </c>
      <c r="AI16" s="4" t="s">
        <v>114</v>
      </c>
      <c r="AJ16" s="4" t="s">
        <v>115</v>
      </c>
      <c r="AK16" s="4">
        <v>66.419291612678506</v>
      </c>
      <c r="AM16" s="4" t="s">
        <v>116</v>
      </c>
      <c r="AN16" s="4">
        <v>2</v>
      </c>
      <c r="AO16" s="4">
        <v>2</v>
      </c>
      <c r="AP16" s="26">
        <v>7</v>
      </c>
    </row>
    <row r="17" spans="1:42" s="4" customFormat="1" x14ac:dyDescent="0.3">
      <c r="A17" s="4" t="s">
        <v>152</v>
      </c>
      <c r="B17" s="4">
        <v>1</v>
      </c>
      <c r="C17" s="4" t="s">
        <v>82</v>
      </c>
      <c r="F17" s="4" t="s">
        <v>60</v>
      </c>
      <c r="G17" s="4" t="s">
        <v>103</v>
      </c>
      <c r="H17" s="4" t="s">
        <v>60</v>
      </c>
      <c r="J17" s="4">
        <v>2023</v>
      </c>
      <c r="K17" s="4" t="s">
        <v>104</v>
      </c>
      <c r="L17" s="4" t="s">
        <v>105</v>
      </c>
      <c r="M17" s="25">
        <v>1583421</v>
      </c>
      <c r="N17" s="4" t="s">
        <v>64</v>
      </c>
      <c r="O17" s="4" t="s">
        <v>65</v>
      </c>
      <c r="P17" s="4">
        <v>3</v>
      </c>
      <c r="Q17" s="4" t="s">
        <v>66</v>
      </c>
      <c r="R17" s="4" t="s">
        <v>106</v>
      </c>
      <c r="S17" s="4" t="s">
        <v>107</v>
      </c>
      <c r="T17" s="4" t="s">
        <v>108</v>
      </c>
      <c r="U17" s="4" t="s">
        <v>69</v>
      </c>
      <c r="V17" s="4" t="s">
        <v>108</v>
      </c>
      <c r="W17" s="4" t="s">
        <v>118</v>
      </c>
      <c r="X17" s="4" t="s">
        <v>72</v>
      </c>
      <c r="Y17" s="4" t="s">
        <v>73</v>
      </c>
      <c r="Z17" s="4" t="s">
        <v>110</v>
      </c>
      <c r="AA17" s="4">
        <v>22.54545263085004</v>
      </c>
      <c r="AB17" s="4" t="s">
        <v>111</v>
      </c>
      <c r="AC17" s="4" t="s">
        <v>112</v>
      </c>
      <c r="AD17" s="4">
        <v>18</v>
      </c>
      <c r="AH17" s="4" t="s">
        <v>113</v>
      </c>
      <c r="AI17" s="4" t="s">
        <v>114</v>
      </c>
      <c r="AJ17" s="4" t="s">
        <v>115</v>
      </c>
      <c r="AK17" s="4">
        <v>97.061159346958206</v>
      </c>
      <c r="AM17" s="4" t="s">
        <v>116</v>
      </c>
      <c r="AN17" s="4">
        <v>2</v>
      </c>
      <c r="AO17" s="4">
        <v>2</v>
      </c>
      <c r="AP17" s="26">
        <v>10</v>
      </c>
    </row>
    <row r="18" spans="1:42" s="4" customFormat="1" x14ac:dyDescent="0.3">
      <c r="A18" s="4" t="s">
        <v>152</v>
      </c>
      <c r="B18" s="4">
        <v>1</v>
      </c>
      <c r="C18" s="4" t="s">
        <v>82</v>
      </c>
      <c r="F18" s="4" t="s">
        <v>60</v>
      </c>
      <c r="G18" s="4" t="s">
        <v>103</v>
      </c>
      <c r="H18" s="4" t="s">
        <v>60</v>
      </c>
      <c r="J18" s="4">
        <v>2023</v>
      </c>
      <c r="K18" s="4" t="s">
        <v>104</v>
      </c>
      <c r="L18" s="4" t="s">
        <v>105</v>
      </c>
      <c r="M18" s="25">
        <v>1583421</v>
      </c>
      <c r="N18" s="4" t="s">
        <v>64</v>
      </c>
      <c r="O18" s="4" t="s">
        <v>65</v>
      </c>
      <c r="P18" s="4">
        <v>3</v>
      </c>
      <c r="Q18" s="4" t="s">
        <v>66</v>
      </c>
      <c r="R18" s="4" t="s">
        <v>106</v>
      </c>
      <c r="S18" s="4" t="s">
        <v>107</v>
      </c>
      <c r="T18" s="4" t="s">
        <v>108</v>
      </c>
      <c r="U18" s="4" t="s">
        <v>69</v>
      </c>
      <c r="V18" s="4" t="s">
        <v>108</v>
      </c>
      <c r="W18" s="4" t="s">
        <v>118</v>
      </c>
      <c r="X18" s="4" t="s">
        <v>72</v>
      </c>
      <c r="Y18" s="4" t="s">
        <v>73</v>
      </c>
      <c r="Z18" s="4" t="s">
        <v>110</v>
      </c>
      <c r="AA18" s="4">
        <v>22.54545263085004</v>
      </c>
      <c r="AB18" s="4" t="s">
        <v>111</v>
      </c>
      <c r="AC18" s="4" t="s">
        <v>112</v>
      </c>
      <c r="AD18" s="4">
        <v>19</v>
      </c>
      <c r="AH18" s="4" t="s">
        <v>113</v>
      </c>
      <c r="AI18" s="4" t="s">
        <v>114</v>
      </c>
      <c r="AJ18" s="4" t="s">
        <v>115</v>
      </c>
      <c r="AK18" s="4">
        <v>31.109037281028701</v>
      </c>
      <c r="AM18" s="4" t="s">
        <v>116</v>
      </c>
      <c r="AN18" s="4">
        <v>2</v>
      </c>
      <c r="AO18" s="4">
        <v>2</v>
      </c>
      <c r="AP18" s="26">
        <v>3</v>
      </c>
    </row>
    <row r="19" spans="1:42" s="4" customFormat="1" x14ac:dyDescent="0.3">
      <c r="A19" s="4" t="s">
        <v>152</v>
      </c>
      <c r="B19" s="4">
        <v>1</v>
      </c>
      <c r="C19" s="4" t="s">
        <v>82</v>
      </c>
      <c r="F19" s="4" t="s">
        <v>60</v>
      </c>
      <c r="G19" s="4" t="s">
        <v>103</v>
      </c>
      <c r="H19" s="4" t="s">
        <v>60</v>
      </c>
      <c r="J19" s="4">
        <v>2023</v>
      </c>
      <c r="K19" s="4" t="s">
        <v>104</v>
      </c>
      <c r="L19" s="4" t="s">
        <v>105</v>
      </c>
      <c r="M19" s="25">
        <v>1583421</v>
      </c>
      <c r="N19" s="4" t="s">
        <v>64</v>
      </c>
      <c r="O19" s="4" t="s">
        <v>65</v>
      </c>
      <c r="P19" s="4">
        <v>3</v>
      </c>
      <c r="Q19" s="4" t="s">
        <v>66</v>
      </c>
      <c r="R19" s="4" t="s">
        <v>106</v>
      </c>
      <c r="S19" s="4" t="s">
        <v>107</v>
      </c>
      <c r="T19" s="4" t="s">
        <v>108</v>
      </c>
      <c r="U19" s="4" t="s">
        <v>69</v>
      </c>
      <c r="V19" s="4" t="s">
        <v>108</v>
      </c>
      <c r="W19" s="4" t="s">
        <v>118</v>
      </c>
      <c r="X19" s="4" t="s">
        <v>72</v>
      </c>
      <c r="Y19" s="4" t="s">
        <v>73</v>
      </c>
      <c r="Z19" s="4" t="s">
        <v>110</v>
      </c>
      <c r="AA19" s="4">
        <v>22.54545263085004</v>
      </c>
      <c r="AB19" s="4" t="s">
        <v>111</v>
      </c>
      <c r="AC19" s="4" t="s">
        <v>112</v>
      </c>
      <c r="AD19" s="4">
        <v>20</v>
      </c>
      <c r="AH19" s="4" t="s">
        <v>113</v>
      </c>
      <c r="AI19" s="4" t="s">
        <v>114</v>
      </c>
      <c r="AJ19" s="4" t="s">
        <v>115</v>
      </c>
      <c r="AK19" s="4">
        <v>294.43272416422002</v>
      </c>
      <c r="AM19" s="4" t="s">
        <v>116</v>
      </c>
      <c r="AN19" s="4">
        <v>2</v>
      </c>
      <c r="AO19" s="4">
        <v>2</v>
      </c>
      <c r="AP19" s="26">
        <v>29</v>
      </c>
    </row>
    <row r="20" spans="1:42" s="4" customFormat="1" x14ac:dyDescent="0.3">
      <c r="A20" s="4" t="s">
        <v>152</v>
      </c>
      <c r="B20" s="4">
        <v>1</v>
      </c>
      <c r="C20" s="4" t="s">
        <v>82</v>
      </c>
      <c r="F20" s="4" t="s">
        <v>60</v>
      </c>
      <c r="G20" s="4" t="s">
        <v>103</v>
      </c>
      <c r="H20" s="4" t="s">
        <v>60</v>
      </c>
      <c r="J20" s="4">
        <v>2023</v>
      </c>
      <c r="K20" s="4" t="s">
        <v>104</v>
      </c>
      <c r="L20" s="4" t="s">
        <v>105</v>
      </c>
      <c r="M20" s="25">
        <v>1583421</v>
      </c>
      <c r="N20" s="4" t="s">
        <v>64</v>
      </c>
      <c r="O20" s="4" t="s">
        <v>65</v>
      </c>
      <c r="P20" s="4">
        <v>3</v>
      </c>
      <c r="Q20" s="4" t="s">
        <v>66</v>
      </c>
      <c r="R20" s="4" t="s">
        <v>106</v>
      </c>
      <c r="S20" s="4" t="s">
        <v>107</v>
      </c>
      <c r="T20" s="4" t="s">
        <v>108</v>
      </c>
      <c r="U20" s="4" t="s">
        <v>69</v>
      </c>
      <c r="V20" s="4" t="s">
        <v>108</v>
      </c>
      <c r="W20" s="4" t="s">
        <v>118</v>
      </c>
      <c r="X20" s="4" t="s">
        <v>72</v>
      </c>
      <c r="Y20" s="4" t="s">
        <v>73</v>
      </c>
      <c r="Z20" s="4" t="s">
        <v>110</v>
      </c>
      <c r="AA20" s="4">
        <v>22.54545263085004</v>
      </c>
      <c r="AB20" s="4" t="s">
        <v>111</v>
      </c>
      <c r="AC20" s="4" t="s">
        <v>112</v>
      </c>
      <c r="AD20" s="4">
        <v>21</v>
      </c>
      <c r="AH20" s="4" t="s">
        <v>113</v>
      </c>
      <c r="AI20" s="4" t="s">
        <v>114</v>
      </c>
      <c r="AJ20" s="4" t="s">
        <v>115</v>
      </c>
      <c r="AK20" s="4">
        <v>437.30124909118098</v>
      </c>
      <c r="AM20" s="4" t="s">
        <v>116</v>
      </c>
      <c r="AN20" s="4">
        <v>2</v>
      </c>
      <c r="AO20" s="4">
        <v>2</v>
      </c>
      <c r="AP20" s="26">
        <v>44</v>
      </c>
    </row>
    <row r="21" spans="1:42" s="4" customFormat="1" x14ac:dyDescent="0.3">
      <c r="A21" s="4" t="s">
        <v>152</v>
      </c>
      <c r="B21" s="4">
        <v>1</v>
      </c>
      <c r="C21" s="4" t="s">
        <v>82</v>
      </c>
      <c r="F21" s="4" t="s">
        <v>60</v>
      </c>
      <c r="G21" s="4" t="s">
        <v>103</v>
      </c>
      <c r="H21" s="4" t="s">
        <v>60</v>
      </c>
      <c r="J21" s="4">
        <v>2023</v>
      </c>
      <c r="K21" s="4" t="s">
        <v>104</v>
      </c>
      <c r="L21" s="4" t="s">
        <v>105</v>
      </c>
      <c r="M21" s="25">
        <v>1583421</v>
      </c>
      <c r="N21" s="4" t="s">
        <v>64</v>
      </c>
      <c r="O21" s="4" t="s">
        <v>65</v>
      </c>
      <c r="P21" s="4">
        <v>3</v>
      </c>
      <c r="Q21" s="4" t="s">
        <v>66</v>
      </c>
      <c r="R21" s="4" t="s">
        <v>106</v>
      </c>
      <c r="S21" s="4" t="s">
        <v>107</v>
      </c>
      <c r="T21" s="4" t="s">
        <v>108</v>
      </c>
      <c r="U21" s="4" t="s">
        <v>69</v>
      </c>
      <c r="V21" s="4" t="s">
        <v>108</v>
      </c>
      <c r="W21" s="4" t="s">
        <v>118</v>
      </c>
      <c r="X21" s="4" t="s">
        <v>72</v>
      </c>
      <c r="Y21" s="4" t="s">
        <v>73</v>
      </c>
      <c r="Z21" s="4" t="s">
        <v>110</v>
      </c>
      <c r="AA21" s="4">
        <v>22.54545263085004</v>
      </c>
      <c r="AB21" s="4" t="s">
        <v>111</v>
      </c>
      <c r="AC21" s="4" t="s">
        <v>112</v>
      </c>
      <c r="AD21" s="4">
        <v>22</v>
      </c>
      <c r="AH21" s="4" t="s">
        <v>113</v>
      </c>
      <c r="AI21" s="4" t="s">
        <v>114</v>
      </c>
      <c r="AJ21" s="4" t="s">
        <v>115</v>
      </c>
      <c r="AK21" s="4">
        <v>498.77940332288699</v>
      </c>
      <c r="AM21" s="4" t="s">
        <v>116</v>
      </c>
      <c r="AN21" s="4">
        <v>2</v>
      </c>
      <c r="AO21" s="4">
        <v>2</v>
      </c>
      <c r="AP21" s="26">
        <v>50</v>
      </c>
    </row>
    <row r="22" spans="1:42" s="4" customFormat="1" x14ac:dyDescent="0.3">
      <c r="A22" s="4" t="s">
        <v>152</v>
      </c>
      <c r="B22" s="4">
        <v>1</v>
      </c>
      <c r="C22" s="4" t="s">
        <v>82</v>
      </c>
      <c r="F22" s="4" t="s">
        <v>60</v>
      </c>
      <c r="G22" s="4" t="s">
        <v>103</v>
      </c>
      <c r="H22" s="4" t="s">
        <v>60</v>
      </c>
      <c r="J22" s="4">
        <v>2023</v>
      </c>
      <c r="K22" s="4" t="s">
        <v>104</v>
      </c>
      <c r="L22" s="4" t="s">
        <v>105</v>
      </c>
      <c r="M22" s="25">
        <v>1583421</v>
      </c>
      <c r="N22" s="4" t="s">
        <v>64</v>
      </c>
      <c r="O22" s="4" t="s">
        <v>65</v>
      </c>
      <c r="P22" s="4">
        <v>3</v>
      </c>
      <c r="Q22" s="4" t="s">
        <v>66</v>
      </c>
      <c r="R22" s="4" t="s">
        <v>106</v>
      </c>
      <c r="S22" s="4" t="s">
        <v>107</v>
      </c>
      <c r="T22" s="4" t="s">
        <v>108</v>
      </c>
      <c r="U22" s="4" t="s">
        <v>69</v>
      </c>
      <c r="V22" s="4" t="s">
        <v>108</v>
      </c>
      <c r="W22" s="4" t="s">
        <v>118</v>
      </c>
      <c r="X22" s="4" t="s">
        <v>72</v>
      </c>
      <c r="Y22" s="4" t="s">
        <v>73</v>
      </c>
      <c r="Z22" s="4" t="s">
        <v>110</v>
      </c>
      <c r="AA22" s="4">
        <v>22.54545263085004</v>
      </c>
      <c r="AB22" s="4" t="s">
        <v>111</v>
      </c>
      <c r="AC22" s="4" t="s">
        <v>112</v>
      </c>
      <c r="AD22" s="4">
        <v>23</v>
      </c>
      <c r="AH22" s="4" t="s">
        <v>113</v>
      </c>
      <c r="AI22" s="4" t="s">
        <v>114</v>
      </c>
      <c r="AJ22" s="4" t="s">
        <v>115</v>
      </c>
      <c r="AK22" s="4">
        <v>471.07125744092502</v>
      </c>
      <c r="AM22" s="4" t="s">
        <v>116</v>
      </c>
      <c r="AN22" s="4">
        <v>2</v>
      </c>
      <c r="AO22" s="4">
        <v>2</v>
      </c>
      <c r="AP22" s="26">
        <v>47</v>
      </c>
    </row>
    <row r="23" spans="1:42" s="4" customFormat="1" x14ac:dyDescent="0.3">
      <c r="A23" s="4" t="s">
        <v>152</v>
      </c>
      <c r="B23" s="4">
        <v>1</v>
      </c>
      <c r="C23" s="4" t="s">
        <v>82</v>
      </c>
      <c r="F23" s="4" t="s">
        <v>60</v>
      </c>
      <c r="G23" s="4" t="s">
        <v>103</v>
      </c>
      <c r="H23" s="4" t="s">
        <v>60</v>
      </c>
      <c r="J23" s="4">
        <v>2023</v>
      </c>
      <c r="K23" s="4" t="s">
        <v>104</v>
      </c>
      <c r="L23" s="4" t="s">
        <v>105</v>
      </c>
      <c r="M23" s="25">
        <v>1583421</v>
      </c>
      <c r="N23" s="4" t="s">
        <v>64</v>
      </c>
      <c r="O23" s="4" t="s">
        <v>65</v>
      </c>
      <c r="P23" s="4">
        <v>3</v>
      </c>
      <c r="Q23" s="4" t="s">
        <v>66</v>
      </c>
      <c r="R23" s="4" t="s">
        <v>106</v>
      </c>
      <c r="S23" s="4" t="s">
        <v>107</v>
      </c>
      <c r="T23" s="4" t="s">
        <v>108</v>
      </c>
      <c r="U23" s="4" t="s">
        <v>69</v>
      </c>
      <c r="V23" s="4" t="s">
        <v>108</v>
      </c>
      <c r="W23" s="4" t="s">
        <v>118</v>
      </c>
      <c r="X23" s="4" t="s">
        <v>72</v>
      </c>
      <c r="Y23" s="4" t="s">
        <v>73</v>
      </c>
      <c r="Z23" s="4" t="s">
        <v>110</v>
      </c>
      <c r="AA23" s="4">
        <v>22.54545263085004</v>
      </c>
      <c r="AB23" s="4" t="s">
        <v>111</v>
      </c>
      <c r="AC23" s="4" t="s">
        <v>112</v>
      </c>
      <c r="AD23" s="4">
        <v>24</v>
      </c>
      <c r="AH23" s="4" t="s">
        <v>113</v>
      </c>
      <c r="AI23" s="4" t="s">
        <v>114</v>
      </c>
      <c r="AJ23" s="4" t="s">
        <v>115</v>
      </c>
      <c r="AK23" s="4">
        <v>212.00673852789501</v>
      </c>
      <c r="AM23" s="4" t="s">
        <v>116</v>
      </c>
      <c r="AN23" s="4">
        <v>2</v>
      </c>
      <c r="AO23" s="4">
        <v>2</v>
      </c>
      <c r="AP23" s="26">
        <v>21</v>
      </c>
    </row>
    <row r="24" spans="1:42" s="4" customFormat="1" x14ac:dyDescent="0.3">
      <c r="A24" s="4" t="s">
        <v>152</v>
      </c>
      <c r="B24" s="4">
        <v>1</v>
      </c>
      <c r="C24" s="4" t="s">
        <v>82</v>
      </c>
      <c r="F24" s="4" t="s">
        <v>60</v>
      </c>
      <c r="G24" s="4" t="s">
        <v>103</v>
      </c>
      <c r="H24" s="4" t="s">
        <v>60</v>
      </c>
      <c r="J24" s="4">
        <v>2023</v>
      </c>
      <c r="K24" s="4" t="s">
        <v>104</v>
      </c>
      <c r="L24" s="4" t="s">
        <v>105</v>
      </c>
      <c r="M24" s="25">
        <v>1583421</v>
      </c>
      <c r="N24" s="4" t="s">
        <v>64</v>
      </c>
      <c r="O24" s="4" t="s">
        <v>65</v>
      </c>
      <c r="P24" s="4">
        <v>3</v>
      </c>
      <c r="Q24" s="4" t="s">
        <v>66</v>
      </c>
      <c r="R24" s="4" t="s">
        <v>106</v>
      </c>
      <c r="S24" s="4" t="s">
        <v>107</v>
      </c>
      <c r="T24" s="4" t="s">
        <v>108</v>
      </c>
      <c r="U24" s="4" t="s">
        <v>69</v>
      </c>
      <c r="V24" s="4" t="s">
        <v>108</v>
      </c>
      <c r="W24" s="4" t="s">
        <v>118</v>
      </c>
      <c r="X24" s="4" t="s">
        <v>72</v>
      </c>
      <c r="Y24" s="4" t="s">
        <v>73</v>
      </c>
      <c r="Z24" s="4" t="s">
        <v>110</v>
      </c>
      <c r="AA24" s="4">
        <v>22.54545263085004</v>
      </c>
      <c r="AB24" s="4" t="s">
        <v>111</v>
      </c>
      <c r="AC24" s="4" t="s">
        <v>112</v>
      </c>
      <c r="AD24" s="4">
        <v>25</v>
      </c>
      <c r="AH24" s="4" t="s">
        <v>113</v>
      </c>
      <c r="AI24" s="4" t="s">
        <v>114</v>
      </c>
      <c r="AJ24" s="4" t="s">
        <v>115</v>
      </c>
      <c r="AK24" s="4">
        <v>139.96306861344101</v>
      </c>
      <c r="AM24" s="4" t="s">
        <v>116</v>
      </c>
      <c r="AN24" s="4">
        <v>2</v>
      </c>
      <c r="AO24" s="4">
        <v>2</v>
      </c>
      <c r="AP24" s="26">
        <v>14</v>
      </c>
    </row>
    <row r="25" spans="1:42" s="4" customFormat="1" x14ac:dyDescent="0.3">
      <c r="A25" s="4" t="s">
        <v>152</v>
      </c>
      <c r="B25" s="4">
        <v>1</v>
      </c>
      <c r="C25" s="4" t="s">
        <v>82</v>
      </c>
      <c r="F25" s="4" t="s">
        <v>60</v>
      </c>
      <c r="G25" s="4" t="s">
        <v>103</v>
      </c>
      <c r="H25" s="4" t="s">
        <v>60</v>
      </c>
      <c r="J25" s="4">
        <v>2023</v>
      </c>
      <c r="K25" s="4" t="s">
        <v>104</v>
      </c>
      <c r="L25" s="4" t="s">
        <v>105</v>
      </c>
      <c r="M25" s="25">
        <v>1583421</v>
      </c>
      <c r="N25" s="4" t="s">
        <v>64</v>
      </c>
      <c r="O25" s="4" t="s">
        <v>65</v>
      </c>
      <c r="P25" s="4">
        <v>3</v>
      </c>
      <c r="Q25" s="4" t="s">
        <v>66</v>
      </c>
      <c r="R25" s="4" t="s">
        <v>106</v>
      </c>
      <c r="S25" s="4" t="s">
        <v>107</v>
      </c>
      <c r="T25" s="4" t="s">
        <v>108</v>
      </c>
      <c r="U25" s="4" t="s">
        <v>69</v>
      </c>
      <c r="V25" s="4" t="s">
        <v>108</v>
      </c>
      <c r="W25" s="4" t="s">
        <v>118</v>
      </c>
      <c r="X25" s="4" t="s">
        <v>72</v>
      </c>
      <c r="Y25" s="4" t="s">
        <v>73</v>
      </c>
      <c r="Z25" s="4" t="s">
        <v>110</v>
      </c>
      <c r="AA25" s="4">
        <v>22.54545263085004</v>
      </c>
      <c r="AB25" s="4" t="s">
        <v>111</v>
      </c>
      <c r="AC25" s="4" t="s">
        <v>112</v>
      </c>
      <c r="AD25" s="4">
        <v>26</v>
      </c>
      <c r="AH25" s="4" t="s">
        <v>113</v>
      </c>
      <c r="AI25" s="4" t="s">
        <v>114</v>
      </c>
      <c r="AJ25" s="4" t="s">
        <v>115</v>
      </c>
      <c r="AK25" s="4">
        <v>19.482257746469902</v>
      </c>
      <c r="AM25" s="4" t="s">
        <v>116</v>
      </c>
      <c r="AN25" s="4">
        <v>2</v>
      </c>
      <c r="AO25" s="4">
        <v>2</v>
      </c>
      <c r="AP25" s="26">
        <v>2</v>
      </c>
    </row>
    <row r="26" spans="1:42" s="4" customFormat="1" x14ac:dyDescent="0.3">
      <c r="A26" s="4" t="s">
        <v>152</v>
      </c>
      <c r="B26" s="4">
        <v>1</v>
      </c>
      <c r="C26" s="4" t="s">
        <v>82</v>
      </c>
      <c r="F26" s="4" t="s">
        <v>60</v>
      </c>
      <c r="G26" s="4" t="s">
        <v>103</v>
      </c>
      <c r="H26" s="4" t="s">
        <v>60</v>
      </c>
      <c r="J26" s="4">
        <v>2023</v>
      </c>
      <c r="K26" s="4" t="s">
        <v>104</v>
      </c>
      <c r="L26" s="4" t="s">
        <v>105</v>
      </c>
      <c r="M26" s="25">
        <v>1583421</v>
      </c>
      <c r="N26" s="4" t="s">
        <v>64</v>
      </c>
      <c r="O26" s="4" t="s">
        <v>65</v>
      </c>
      <c r="P26" s="4">
        <v>3</v>
      </c>
      <c r="Q26" s="4" t="s">
        <v>66</v>
      </c>
      <c r="R26" s="4" t="s">
        <v>106</v>
      </c>
      <c r="S26" s="4" t="s">
        <v>107</v>
      </c>
      <c r="T26" s="4" t="s">
        <v>108</v>
      </c>
      <c r="U26" s="4" t="s">
        <v>69</v>
      </c>
      <c r="V26" s="4" t="s">
        <v>108</v>
      </c>
      <c r="W26" s="4" t="s">
        <v>118</v>
      </c>
      <c r="X26" s="4" t="s">
        <v>72</v>
      </c>
      <c r="Y26" s="4" t="s">
        <v>73</v>
      </c>
      <c r="Z26" s="4" t="s">
        <v>110</v>
      </c>
      <c r="AA26" s="4">
        <v>22.54545263085004</v>
      </c>
      <c r="AB26" s="4" t="s">
        <v>111</v>
      </c>
      <c r="AC26" s="4" t="s">
        <v>112</v>
      </c>
      <c r="AD26" s="4">
        <v>17</v>
      </c>
      <c r="AH26" s="4" t="s">
        <v>73</v>
      </c>
      <c r="AI26" s="4" t="s">
        <v>74</v>
      </c>
      <c r="AJ26" s="4" t="s">
        <v>117</v>
      </c>
      <c r="AK26" s="4">
        <v>5.4675291723273898E-3</v>
      </c>
      <c r="AM26" s="4" t="s">
        <v>116</v>
      </c>
      <c r="AN26" s="4">
        <v>2</v>
      </c>
      <c r="AO26" s="4">
        <v>2</v>
      </c>
      <c r="AP26" s="26">
        <v>7</v>
      </c>
    </row>
    <row r="27" spans="1:42" s="4" customFormat="1" x14ac:dyDescent="0.3">
      <c r="A27" s="4" t="s">
        <v>152</v>
      </c>
      <c r="B27" s="4">
        <v>1</v>
      </c>
      <c r="C27" s="4" t="s">
        <v>82</v>
      </c>
      <c r="F27" s="4" t="s">
        <v>60</v>
      </c>
      <c r="G27" s="4" t="s">
        <v>103</v>
      </c>
      <c r="H27" s="4" t="s">
        <v>60</v>
      </c>
      <c r="J27" s="4">
        <v>2023</v>
      </c>
      <c r="K27" s="4" t="s">
        <v>104</v>
      </c>
      <c r="L27" s="4" t="s">
        <v>105</v>
      </c>
      <c r="M27" s="25">
        <v>1583421</v>
      </c>
      <c r="N27" s="4" t="s">
        <v>64</v>
      </c>
      <c r="O27" s="4" t="s">
        <v>65</v>
      </c>
      <c r="P27" s="4">
        <v>3</v>
      </c>
      <c r="Q27" s="4" t="s">
        <v>66</v>
      </c>
      <c r="R27" s="4" t="s">
        <v>106</v>
      </c>
      <c r="S27" s="4" t="s">
        <v>107</v>
      </c>
      <c r="T27" s="4" t="s">
        <v>108</v>
      </c>
      <c r="U27" s="4" t="s">
        <v>69</v>
      </c>
      <c r="V27" s="4" t="s">
        <v>108</v>
      </c>
      <c r="W27" s="4" t="s">
        <v>118</v>
      </c>
      <c r="X27" s="4" t="s">
        <v>72</v>
      </c>
      <c r="Y27" s="4" t="s">
        <v>73</v>
      </c>
      <c r="Z27" s="4" t="s">
        <v>110</v>
      </c>
      <c r="AA27" s="4">
        <v>22.54545263085004</v>
      </c>
      <c r="AB27" s="4" t="s">
        <v>111</v>
      </c>
      <c r="AC27" s="4" t="s">
        <v>112</v>
      </c>
      <c r="AD27" s="4">
        <v>18</v>
      </c>
      <c r="AH27" s="4" t="s">
        <v>73</v>
      </c>
      <c r="AI27" s="4" t="s">
        <v>74</v>
      </c>
      <c r="AJ27" s="4" t="s">
        <v>117</v>
      </c>
      <c r="AK27" s="4">
        <v>6.1144567118773E-3</v>
      </c>
      <c r="AM27" s="4" t="s">
        <v>116</v>
      </c>
      <c r="AN27" s="4">
        <v>2</v>
      </c>
      <c r="AO27" s="4">
        <v>2</v>
      </c>
      <c r="AP27" s="26">
        <v>10</v>
      </c>
    </row>
    <row r="28" spans="1:42" s="4" customFormat="1" x14ac:dyDescent="0.3">
      <c r="A28" s="4" t="s">
        <v>152</v>
      </c>
      <c r="B28" s="4">
        <v>1</v>
      </c>
      <c r="C28" s="4" t="s">
        <v>82</v>
      </c>
      <c r="F28" s="4" t="s">
        <v>60</v>
      </c>
      <c r="G28" s="4" t="s">
        <v>103</v>
      </c>
      <c r="H28" s="4" t="s">
        <v>60</v>
      </c>
      <c r="J28" s="4">
        <v>2023</v>
      </c>
      <c r="K28" s="4" t="s">
        <v>104</v>
      </c>
      <c r="L28" s="4" t="s">
        <v>105</v>
      </c>
      <c r="M28" s="25">
        <v>1583421</v>
      </c>
      <c r="N28" s="4" t="s">
        <v>64</v>
      </c>
      <c r="O28" s="4" t="s">
        <v>65</v>
      </c>
      <c r="P28" s="4">
        <v>3</v>
      </c>
      <c r="Q28" s="4" t="s">
        <v>66</v>
      </c>
      <c r="R28" s="4" t="s">
        <v>106</v>
      </c>
      <c r="S28" s="4" t="s">
        <v>107</v>
      </c>
      <c r="T28" s="4" t="s">
        <v>108</v>
      </c>
      <c r="U28" s="4" t="s">
        <v>69</v>
      </c>
      <c r="V28" s="4" t="s">
        <v>108</v>
      </c>
      <c r="W28" s="4" t="s">
        <v>118</v>
      </c>
      <c r="X28" s="4" t="s">
        <v>72</v>
      </c>
      <c r="Y28" s="4" t="s">
        <v>73</v>
      </c>
      <c r="Z28" s="4" t="s">
        <v>110</v>
      </c>
      <c r="AA28" s="4">
        <v>22.54545263085004</v>
      </c>
      <c r="AB28" s="4" t="s">
        <v>111</v>
      </c>
      <c r="AC28" s="4" t="s">
        <v>112</v>
      </c>
      <c r="AD28" s="4">
        <v>19</v>
      </c>
      <c r="AH28" s="4" t="s">
        <v>73</v>
      </c>
      <c r="AI28" s="4" t="s">
        <v>74</v>
      </c>
      <c r="AJ28" s="4" t="s">
        <v>117</v>
      </c>
      <c r="AK28" s="4">
        <v>6.9160162542765101E-3</v>
      </c>
      <c r="AM28" s="4" t="s">
        <v>116</v>
      </c>
      <c r="AN28" s="4">
        <v>2</v>
      </c>
      <c r="AO28" s="4">
        <v>2</v>
      </c>
      <c r="AP28" s="26">
        <v>3</v>
      </c>
    </row>
    <row r="29" spans="1:42" s="4" customFormat="1" x14ac:dyDescent="0.3">
      <c r="A29" s="4" t="s">
        <v>152</v>
      </c>
      <c r="B29" s="4">
        <v>1</v>
      </c>
      <c r="C29" s="4" t="s">
        <v>82</v>
      </c>
      <c r="F29" s="4" t="s">
        <v>60</v>
      </c>
      <c r="G29" s="4" t="s">
        <v>103</v>
      </c>
      <c r="H29" s="4" t="s">
        <v>60</v>
      </c>
      <c r="J29" s="4">
        <v>2023</v>
      </c>
      <c r="K29" s="4" t="s">
        <v>104</v>
      </c>
      <c r="L29" s="4" t="s">
        <v>105</v>
      </c>
      <c r="M29" s="25">
        <v>1583421</v>
      </c>
      <c r="N29" s="4" t="s">
        <v>64</v>
      </c>
      <c r="O29" s="4" t="s">
        <v>65</v>
      </c>
      <c r="P29" s="4">
        <v>3</v>
      </c>
      <c r="Q29" s="4" t="s">
        <v>66</v>
      </c>
      <c r="R29" s="4" t="s">
        <v>106</v>
      </c>
      <c r="S29" s="4" t="s">
        <v>107</v>
      </c>
      <c r="T29" s="4" t="s">
        <v>108</v>
      </c>
      <c r="U29" s="4" t="s">
        <v>69</v>
      </c>
      <c r="V29" s="4" t="s">
        <v>108</v>
      </c>
      <c r="W29" s="4" t="s">
        <v>118</v>
      </c>
      <c r="X29" s="4" t="s">
        <v>72</v>
      </c>
      <c r="Y29" s="4" t="s">
        <v>73</v>
      </c>
      <c r="Z29" s="4" t="s">
        <v>110</v>
      </c>
      <c r="AA29" s="4">
        <v>22.54545263085004</v>
      </c>
      <c r="AB29" s="4" t="s">
        <v>111</v>
      </c>
      <c r="AC29" s="4" t="s">
        <v>112</v>
      </c>
      <c r="AD29" s="4">
        <v>20</v>
      </c>
      <c r="AH29" s="4" t="s">
        <v>73</v>
      </c>
      <c r="AI29" s="4" t="s">
        <v>74</v>
      </c>
      <c r="AJ29" s="4" t="s">
        <v>117</v>
      </c>
      <c r="AK29" s="4">
        <v>7.9270867728723996E-3</v>
      </c>
      <c r="AM29" s="4" t="s">
        <v>116</v>
      </c>
      <c r="AN29" s="4">
        <v>2</v>
      </c>
      <c r="AO29" s="4">
        <v>2</v>
      </c>
      <c r="AP29" s="26">
        <v>29</v>
      </c>
    </row>
    <row r="30" spans="1:42" s="4" customFormat="1" x14ac:dyDescent="0.3">
      <c r="A30" s="4" t="s">
        <v>152</v>
      </c>
      <c r="B30" s="4">
        <v>1</v>
      </c>
      <c r="C30" s="4" t="s">
        <v>82</v>
      </c>
      <c r="F30" s="4" t="s">
        <v>60</v>
      </c>
      <c r="G30" s="4" t="s">
        <v>103</v>
      </c>
      <c r="H30" s="4" t="s">
        <v>60</v>
      </c>
      <c r="J30" s="4">
        <v>2023</v>
      </c>
      <c r="K30" s="4" t="s">
        <v>104</v>
      </c>
      <c r="L30" s="4" t="s">
        <v>105</v>
      </c>
      <c r="M30" s="25">
        <v>1583421</v>
      </c>
      <c r="N30" s="4" t="s">
        <v>64</v>
      </c>
      <c r="O30" s="4" t="s">
        <v>65</v>
      </c>
      <c r="P30" s="4">
        <v>3</v>
      </c>
      <c r="Q30" s="4" t="s">
        <v>66</v>
      </c>
      <c r="R30" s="4" t="s">
        <v>106</v>
      </c>
      <c r="S30" s="4" t="s">
        <v>107</v>
      </c>
      <c r="T30" s="4" t="s">
        <v>108</v>
      </c>
      <c r="U30" s="4" t="s">
        <v>69</v>
      </c>
      <c r="V30" s="4" t="s">
        <v>108</v>
      </c>
      <c r="W30" s="4" t="s">
        <v>118</v>
      </c>
      <c r="X30" s="4" t="s">
        <v>72</v>
      </c>
      <c r="Y30" s="4" t="s">
        <v>73</v>
      </c>
      <c r="Z30" s="4" t="s">
        <v>110</v>
      </c>
      <c r="AA30" s="4">
        <v>22.54545263085004</v>
      </c>
      <c r="AB30" s="4" t="s">
        <v>111</v>
      </c>
      <c r="AC30" s="4" t="s">
        <v>112</v>
      </c>
      <c r="AD30" s="4">
        <v>21</v>
      </c>
      <c r="AH30" s="4" t="s">
        <v>73</v>
      </c>
      <c r="AI30" s="4" t="s">
        <v>74</v>
      </c>
      <c r="AJ30" s="4" t="s">
        <v>117</v>
      </c>
      <c r="AK30" s="4">
        <v>8.8453217608713899E-3</v>
      </c>
      <c r="AM30" s="4" t="s">
        <v>116</v>
      </c>
      <c r="AN30" s="4">
        <v>2</v>
      </c>
      <c r="AO30" s="4">
        <v>2</v>
      </c>
      <c r="AP30" s="26">
        <v>44</v>
      </c>
    </row>
    <row r="31" spans="1:42" s="4" customFormat="1" x14ac:dyDescent="0.3">
      <c r="A31" s="4" t="s">
        <v>152</v>
      </c>
      <c r="B31" s="4">
        <v>1</v>
      </c>
      <c r="C31" s="4" t="s">
        <v>82</v>
      </c>
      <c r="F31" s="4" t="s">
        <v>60</v>
      </c>
      <c r="G31" s="4" t="s">
        <v>103</v>
      </c>
      <c r="H31" s="4" t="s">
        <v>60</v>
      </c>
      <c r="J31" s="4">
        <v>2023</v>
      </c>
      <c r="K31" s="4" t="s">
        <v>104</v>
      </c>
      <c r="L31" s="4" t="s">
        <v>105</v>
      </c>
      <c r="M31" s="25">
        <v>1583421</v>
      </c>
      <c r="N31" s="4" t="s">
        <v>64</v>
      </c>
      <c r="O31" s="4" t="s">
        <v>65</v>
      </c>
      <c r="P31" s="4">
        <v>3</v>
      </c>
      <c r="Q31" s="4" t="s">
        <v>66</v>
      </c>
      <c r="R31" s="4" t="s">
        <v>106</v>
      </c>
      <c r="S31" s="4" t="s">
        <v>107</v>
      </c>
      <c r="T31" s="4" t="s">
        <v>108</v>
      </c>
      <c r="U31" s="4" t="s">
        <v>69</v>
      </c>
      <c r="V31" s="4" t="s">
        <v>108</v>
      </c>
      <c r="W31" s="4" t="s">
        <v>118</v>
      </c>
      <c r="X31" s="4" t="s">
        <v>72</v>
      </c>
      <c r="Y31" s="4" t="s">
        <v>73</v>
      </c>
      <c r="Z31" s="4" t="s">
        <v>110</v>
      </c>
      <c r="AA31" s="4">
        <v>22.54545263085004</v>
      </c>
      <c r="AB31" s="4" t="s">
        <v>111</v>
      </c>
      <c r="AC31" s="4" t="s">
        <v>112</v>
      </c>
      <c r="AD31" s="4">
        <v>22</v>
      </c>
      <c r="AH31" s="4" t="s">
        <v>73</v>
      </c>
      <c r="AI31" s="4" t="s">
        <v>74</v>
      </c>
      <c r="AJ31" s="4" t="s">
        <v>117</v>
      </c>
      <c r="AK31" s="4">
        <v>1.0010946123341E-2</v>
      </c>
      <c r="AM31" s="4" t="s">
        <v>116</v>
      </c>
      <c r="AN31" s="4">
        <v>2</v>
      </c>
      <c r="AO31" s="4">
        <v>2</v>
      </c>
      <c r="AP31" s="26">
        <v>50</v>
      </c>
    </row>
    <row r="32" spans="1:42" s="4" customFormat="1" x14ac:dyDescent="0.3">
      <c r="A32" s="4" t="s">
        <v>152</v>
      </c>
      <c r="B32" s="4">
        <v>1</v>
      </c>
      <c r="C32" s="4" t="s">
        <v>82</v>
      </c>
      <c r="F32" s="4" t="s">
        <v>60</v>
      </c>
      <c r="G32" s="4" t="s">
        <v>103</v>
      </c>
      <c r="H32" s="4" t="s">
        <v>60</v>
      </c>
      <c r="J32" s="4">
        <v>2023</v>
      </c>
      <c r="K32" s="4" t="s">
        <v>104</v>
      </c>
      <c r="L32" s="4" t="s">
        <v>105</v>
      </c>
      <c r="M32" s="25">
        <v>1583421</v>
      </c>
      <c r="N32" s="4" t="s">
        <v>64</v>
      </c>
      <c r="O32" s="4" t="s">
        <v>65</v>
      </c>
      <c r="P32" s="4">
        <v>3</v>
      </c>
      <c r="Q32" s="4" t="s">
        <v>66</v>
      </c>
      <c r="R32" s="4" t="s">
        <v>106</v>
      </c>
      <c r="S32" s="4" t="s">
        <v>107</v>
      </c>
      <c r="T32" s="4" t="s">
        <v>108</v>
      </c>
      <c r="U32" s="4" t="s">
        <v>69</v>
      </c>
      <c r="V32" s="4" t="s">
        <v>108</v>
      </c>
      <c r="W32" s="4" t="s">
        <v>118</v>
      </c>
      <c r="X32" s="4" t="s">
        <v>72</v>
      </c>
      <c r="Y32" s="4" t="s">
        <v>73</v>
      </c>
      <c r="Z32" s="4" t="s">
        <v>110</v>
      </c>
      <c r="AA32" s="4">
        <v>22.54545263085004</v>
      </c>
      <c r="AB32" s="4" t="s">
        <v>111</v>
      </c>
      <c r="AC32" s="4" t="s">
        <v>112</v>
      </c>
      <c r="AD32" s="4">
        <v>23</v>
      </c>
      <c r="AH32" s="4" t="s">
        <v>73</v>
      </c>
      <c r="AI32" s="4" t="s">
        <v>74</v>
      </c>
      <c r="AJ32" s="4" t="s">
        <v>117</v>
      </c>
      <c r="AK32" s="4">
        <v>1.1148235171078699E-2</v>
      </c>
      <c r="AM32" s="4" t="s">
        <v>116</v>
      </c>
      <c r="AN32" s="4">
        <v>2</v>
      </c>
      <c r="AO32" s="4">
        <v>2</v>
      </c>
      <c r="AP32" s="26">
        <v>47</v>
      </c>
    </row>
    <row r="33" spans="1:42" s="4" customFormat="1" x14ac:dyDescent="0.3">
      <c r="A33" s="4" t="s">
        <v>152</v>
      </c>
      <c r="B33" s="4">
        <v>1</v>
      </c>
      <c r="C33" s="4" t="s">
        <v>82</v>
      </c>
      <c r="F33" s="4" t="s">
        <v>60</v>
      </c>
      <c r="G33" s="4" t="s">
        <v>103</v>
      </c>
      <c r="H33" s="4" t="s">
        <v>60</v>
      </c>
      <c r="J33" s="4">
        <v>2023</v>
      </c>
      <c r="K33" s="4" t="s">
        <v>104</v>
      </c>
      <c r="L33" s="4" t="s">
        <v>105</v>
      </c>
      <c r="M33" s="25">
        <v>1583421</v>
      </c>
      <c r="N33" s="4" t="s">
        <v>64</v>
      </c>
      <c r="O33" s="4" t="s">
        <v>65</v>
      </c>
      <c r="P33" s="4">
        <v>3</v>
      </c>
      <c r="Q33" s="4" t="s">
        <v>66</v>
      </c>
      <c r="R33" s="4" t="s">
        <v>106</v>
      </c>
      <c r="S33" s="4" t="s">
        <v>107</v>
      </c>
      <c r="T33" s="4" t="s">
        <v>108</v>
      </c>
      <c r="U33" s="4" t="s">
        <v>69</v>
      </c>
      <c r="V33" s="4" t="s">
        <v>108</v>
      </c>
      <c r="W33" s="4" t="s">
        <v>118</v>
      </c>
      <c r="X33" s="4" t="s">
        <v>72</v>
      </c>
      <c r="Y33" s="4" t="s">
        <v>73</v>
      </c>
      <c r="Z33" s="4" t="s">
        <v>110</v>
      </c>
      <c r="AA33" s="4">
        <v>22.54545263085004</v>
      </c>
      <c r="AB33" s="4" t="s">
        <v>111</v>
      </c>
      <c r="AC33" s="4" t="s">
        <v>112</v>
      </c>
      <c r="AD33" s="4">
        <v>24</v>
      </c>
      <c r="AH33" s="4" t="s">
        <v>73</v>
      </c>
      <c r="AI33" s="4" t="s">
        <v>74</v>
      </c>
      <c r="AJ33" s="4" t="s">
        <v>117</v>
      </c>
      <c r="AK33" s="4">
        <v>1.25869427670208E-2</v>
      </c>
      <c r="AM33" s="4" t="s">
        <v>116</v>
      </c>
      <c r="AN33" s="4">
        <v>2</v>
      </c>
      <c r="AO33" s="4">
        <v>2</v>
      </c>
      <c r="AP33" s="26">
        <v>21</v>
      </c>
    </row>
    <row r="34" spans="1:42" s="4" customFormat="1" x14ac:dyDescent="0.3">
      <c r="A34" s="4" t="s">
        <v>152</v>
      </c>
      <c r="B34" s="4">
        <v>1</v>
      </c>
      <c r="C34" s="4" t="s">
        <v>82</v>
      </c>
      <c r="F34" s="4" t="s">
        <v>60</v>
      </c>
      <c r="G34" s="4" t="s">
        <v>103</v>
      </c>
      <c r="H34" s="4" t="s">
        <v>60</v>
      </c>
      <c r="J34" s="4">
        <v>2023</v>
      </c>
      <c r="K34" s="4" t="s">
        <v>104</v>
      </c>
      <c r="L34" s="4" t="s">
        <v>105</v>
      </c>
      <c r="M34" s="25">
        <v>1583421</v>
      </c>
      <c r="N34" s="4" t="s">
        <v>64</v>
      </c>
      <c r="O34" s="4" t="s">
        <v>65</v>
      </c>
      <c r="P34" s="4">
        <v>3</v>
      </c>
      <c r="Q34" s="4" t="s">
        <v>66</v>
      </c>
      <c r="R34" s="4" t="s">
        <v>106</v>
      </c>
      <c r="S34" s="4" t="s">
        <v>107</v>
      </c>
      <c r="T34" s="4" t="s">
        <v>108</v>
      </c>
      <c r="U34" s="4" t="s">
        <v>69</v>
      </c>
      <c r="V34" s="4" t="s">
        <v>108</v>
      </c>
      <c r="W34" s="4" t="s">
        <v>118</v>
      </c>
      <c r="X34" s="4" t="s">
        <v>72</v>
      </c>
      <c r="Y34" s="4" t="s">
        <v>73</v>
      </c>
      <c r="Z34" s="4" t="s">
        <v>110</v>
      </c>
      <c r="AA34" s="4">
        <v>22.54545263085004</v>
      </c>
      <c r="AB34" s="4" t="s">
        <v>111</v>
      </c>
      <c r="AC34" s="4" t="s">
        <v>112</v>
      </c>
      <c r="AD34" s="4">
        <v>25</v>
      </c>
      <c r="AH34" s="4" t="s">
        <v>73</v>
      </c>
      <c r="AI34" s="4" t="s">
        <v>74</v>
      </c>
      <c r="AJ34" s="4" t="s">
        <v>117</v>
      </c>
      <c r="AK34" s="4">
        <v>1.3782784392900401E-2</v>
      </c>
      <c r="AM34" s="4" t="s">
        <v>116</v>
      </c>
      <c r="AN34" s="4">
        <v>2</v>
      </c>
      <c r="AO34" s="4">
        <v>2</v>
      </c>
      <c r="AP34" s="26">
        <v>14</v>
      </c>
    </row>
    <row r="35" spans="1:42" s="4" customFormat="1" x14ac:dyDescent="0.3">
      <c r="A35" s="4" t="s">
        <v>152</v>
      </c>
      <c r="B35" s="4">
        <v>1</v>
      </c>
      <c r="C35" s="4" t="s">
        <v>82</v>
      </c>
      <c r="F35" s="4" t="s">
        <v>60</v>
      </c>
      <c r="G35" s="4" t="s">
        <v>103</v>
      </c>
      <c r="H35" s="4" t="s">
        <v>60</v>
      </c>
      <c r="J35" s="4">
        <v>2023</v>
      </c>
      <c r="K35" s="4" t="s">
        <v>104</v>
      </c>
      <c r="L35" s="4" t="s">
        <v>105</v>
      </c>
      <c r="M35" s="25">
        <v>1583421</v>
      </c>
      <c r="N35" s="4" t="s">
        <v>64</v>
      </c>
      <c r="O35" s="4" t="s">
        <v>65</v>
      </c>
      <c r="P35" s="4">
        <v>3</v>
      </c>
      <c r="Q35" s="4" t="s">
        <v>66</v>
      </c>
      <c r="R35" s="4" t="s">
        <v>106</v>
      </c>
      <c r="S35" s="4" t="s">
        <v>107</v>
      </c>
      <c r="T35" s="4" t="s">
        <v>108</v>
      </c>
      <c r="U35" s="4" t="s">
        <v>69</v>
      </c>
      <c r="V35" s="4" t="s">
        <v>108</v>
      </c>
      <c r="W35" s="4" t="s">
        <v>118</v>
      </c>
      <c r="X35" s="4" t="s">
        <v>72</v>
      </c>
      <c r="Y35" s="4" t="s">
        <v>73</v>
      </c>
      <c r="Z35" s="4" t="s">
        <v>110</v>
      </c>
      <c r="AA35" s="4">
        <v>22.54545263085004</v>
      </c>
      <c r="AB35" s="4" t="s">
        <v>111</v>
      </c>
      <c r="AC35" s="4" t="s">
        <v>112</v>
      </c>
      <c r="AD35" s="4">
        <v>26</v>
      </c>
      <c r="AH35" s="4" t="s">
        <v>73</v>
      </c>
      <c r="AI35" s="4" t="s">
        <v>74</v>
      </c>
      <c r="AJ35" s="4" t="s">
        <v>117</v>
      </c>
      <c r="AK35" s="4">
        <v>1.6894754803179299E-2</v>
      </c>
      <c r="AM35" s="4" t="s">
        <v>116</v>
      </c>
      <c r="AN35" s="4">
        <v>2</v>
      </c>
      <c r="AO35" s="4">
        <v>2</v>
      </c>
      <c r="AP35" s="26">
        <v>2</v>
      </c>
    </row>
    <row r="36" spans="1:42" s="7" customFormat="1" x14ac:dyDescent="0.3">
      <c r="A36" s="7" t="s">
        <v>152</v>
      </c>
      <c r="B36" s="7">
        <v>1</v>
      </c>
      <c r="C36" s="7" t="s">
        <v>82</v>
      </c>
      <c r="D36" s="8" t="s">
        <v>82</v>
      </c>
      <c r="E36" s="7" t="s">
        <v>83</v>
      </c>
      <c r="F36" s="7" t="s">
        <v>84</v>
      </c>
      <c r="G36" s="7" t="s">
        <v>103</v>
      </c>
      <c r="H36" s="7" t="s">
        <v>60</v>
      </c>
      <c r="J36" s="7">
        <v>2023</v>
      </c>
      <c r="K36" s="7" t="s">
        <v>104</v>
      </c>
      <c r="L36" s="7" t="s">
        <v>105</v>
      </c>
      <c r="M36" s="27">
        <v>1583421</v>
      </c>
      <c r="N36" s="7" t="s">
        <v>64</v>
      </c>
      <c r="O36" s="7" t="s">
        <v>65</v>
      </c>
      <c r="P36" s="7">
        <v>2</v>
      </c>
      <c r="Q36" s="7" t="s">
        <v>66</v>
      </c>
      <c r="R36" s="7" t="s">
        <v>106</v>
      </c>
      <c r="S36" s="7" t="s">
        <v>107</v>
      </c>
      <c r="T36" s="7" t="s">
        <v>108</v>
      </c>
      <c r="U36" s="7" t="s">
        <v>69</v>
      </c>
      <c r="V36" s="7" t="s">
        <v>108</v>
      </c>
      <c r="X36" s="7" t="s">
        <v>72</v>
      </c>
      <c r="Y36" s="7" t="s">
        <v>73</v>
      </c>
      <c r="Z36" s="7" t="s">
        <v>110</v>
      </c>
      <c r="AA36" s="7">
        <v>143.62095731508401</v>
      </c>
      <c r="AB36" s="7" t="s">
        <v>111</v>
      </c>
      <c r="AC36" s="7" t="s">
        <v>112</v>
      </c>
      <c r="AD36" s="28">
        <v>17</v>
      </c>
      <c r="AH36" s="7" t="s">
        <v>113</v>
      </c>
      <c r="AI36" s="7" t="s">
        <v>114</v>
      </c>
      <c r="AJ36" s="7" t="s">
        <v>115</v>
      </c>
      <c r="AK36" s="7">
        <v>237.50533535813074</v>
      </c>
    </row>
    <row r="37" spans="1:42" s="7" customFormat="1" x14ac:dyDescent="0.3">
      <c r="A37" s="7" t="s">
        <v>152</v>
      </c>
      <c r="B37" s="7">
        <v>1</v>
      </c>
      <c r="C37" s="7" t="s">
        <v>82</v>
      </c>
      <c r="D37" s="8" t="s">
        <v>82</v>
      </c>
      <c r="E37" s="7" t="s">
        <v>83</v>
      </c>
      <c r="F37" s="7" t="s">
        <v>84</v>
      </c>
      <c r="G37" s="7" t="s">
        <v>103</v>
      </c>
      <c r="H37" s="7" t="s">
        <v>60</v>
      </c>
      <c r="J37" s="7">
        <v>2023</v>
      </c>
      <c r="K37" s="7" t="s">
        <v>104</v>
      </c>
      <c r="L37" s="7" t="s">
        <v>105</v>
      </c>
      <c r="M37" s="27">
        <v>1583421</v>
      </c>
      <c r="N37" s="7" t="s">
        <v>64</v>
      </c>
      <c r="O37" s="7" t="s">
        <v>65</v>
      </c>
      <c r="P37" s="7">
        <v>2</v>
      </c>
      <c r="Q37" s="7" t="s">
        <v>66</v>
      </c>
      <c r="R37" s="7" t="s">
        <v>106</v>
      </c>
      <c r="S37" s="7" t="s">
        <v>107</v>
      </c>
      <c r="T37" s="7" t="s">
        <v>108</v>
      </c>
      <c r="U37" s="7" t="s">
        <v>69</v>
      </c>
      <c r="V37" s="7" t="s">
        <v>108</v>
      </c>
      <c r="X37" s="7" t="s">
        <v>72</v>
      </c>
      <c r="Y37" s="7" t="s">
        <v>73</v>
      </c>
      <c r="Z37" s="7" t="s">
        <v>110</v>
      </c>
      <c r="AA37" s="7">
        <v>143.62095731508401</v>
      </c>
      <c r="AB37" s="7" t="s">
        <v>111</v>
      </c>
      <c r="AC37" s="7" t="s">
        <v>112</v>
      </c>
      <c r="AD37" s="28">
        <v>18</v>
      </c>
      <c r="AH37" s="7" t="s">
        <v>113</v>
      </c>
      <c r="AI37" s="7" t="s">
        <v>114</v>
      </c>
      <c r="AJ37" s="7" t="s">
        <v>115</v>
      </c>
      <c r="AK37" s="7">
        <v>347.07601724177181</v>
      </c>
    </row>
    <row r="38" spans="1:42" s="7" customFormat="1" x14ac:dyDescent="0.3">
      <c r="A38" s="7" t="s">
        <v>152</v>
      </c>
      <c r="B38" s="7">
        <v>1</v>
      </c>
      <c r="C38" s="7" t="s">
        <v>82</v>
      </c>
      <c r="D38" s="8" t="s">
        <v>82</v>
      </c>
      <c r="E38" s="7" t="s">
        <v>83</v>
      </c>
      <c r="F38" s="7" t="s">
        <v>84</v>
      </c>
      <c r="G38" s="7" t="s">
        <v>103</v>
      </c>
      <c r="H38" s="7" t="s">
        <v>60</v>
      </c>
      <c r="J38" s="7">
        <v>2023</v>
      </c>
      <c r="K38" s="7" t="s">
        <v>104</v>
      </c>
      <c r="L38" s="7" t="s">
        <v>105</v>
      </c>
      <c r="M38" s="27">
        <v>1583421</v>
      </c>
      <c r="N38" s="7" t="s">
        <v>64</v>
      </c>
      <c r="O38" s="7" t="s">
        <v>65</v>
      </c>
      <c r="P38" s="7">
        <v>2</v>
      </c>
      <c r="Q38" s="7" t="s">
        <v>66</v>
      </c>
      <c r="R38" s="7" t="s">
        <v>106</v>
      </c>
      <c r="S38" s="7" t="s">
        <v>107</v>
      </c>
      <c r="T38" s="7" t="s">
        <v>108</v>
      </c>
      <c r="U38" s="7" t="s">
        <v>69</v>
      </c>
      <c r="V38" s="7" t="s">
        <v>108</v>
      </c>
      <c r="X38" s="7" t="s">
        <v>72</v>
      </c>
      <c r="Y38" s="7" t="s">
        <v>73</v>
      </c>
      <c r="Z38" s="7" t="s">
        <v>110</v>
      </c>
      <c r="AA38" s="7">
        <v>143.62095731508401</v>
      </c>
      <c r="AB38" s="7" t="s">
        <v>111</v>
      </c>
      <c r="AC38" s="7" t="s">
        <v>112</v>
      </c>
      <c r="AD38" s="28">
        <v>19</v>
      </c>
      <c r="AH38" s="7" t="s">
        <v>113</v>
      </c>
      <c r="AI38" s="7" t="s">
        <v>114</v>
      </c>
      <c r="AJ38" s="7" t="s">
        <v>115</v>
      </c>
      <c r="AK38" s="7">
        <v>111.24120948451881</v>
      </c>
    </row>
    <row r="39" spans="1:42" s="7" customFormat="1" x14ac:dyDescent="0.3">
      <c r="A39" s="7" t="s">
        <v>152</v>
      </c>
      <c r="B39" s="7">
        <v>1</v>
      </c>
      <c r="C39" s="7" t="s">
        <v>82</v>
      </c>
      <c r="D39" s="8" t="s">
        <v>82</v>
      </c>
      <c r="E39" s="7" t="s">
        <v>83</v>
      </c>
      <c r="F39" s="7" t="s">
        <v>84</v>
      </c>
      <c r="G39" s="7" t="s">
        <v>103</v>
      </c>
      <c r="H39" s="7" t="s">
        <v>60</v>
      </c>
      <c r="J39" s="7">
        <v>2023</v>
      </c>
      <c r="K39" s="7" t="s">
        <v>104</v>
      </c>
      <c r="L39" s="7" t="s">
        <v>105</v>
      </c>
      <c r="M39" s="27">
        <v>1583421</v>
      </c>
      <c r="N39" s="7" t="s">
        <v>64</v>
      </c>
      <c r="O39" s="7" t="s">
        <v>65</v>
      </c>
      <c r="P39" s="7">
        <v>2</v>
      </c>
      <c r="Q39" s="7" t="s">
        <v>66</v>
      </c>
      <c r="R39" s="7" t="s">
        <v>106</v>
      </c>
      <c r="S39" s="7" t="s">
        <v>107</v>
      </c>
      <c r="T39" s="7" t="s">
        <v>108</v>
      </c>
      <c r="U39" s="7" t="s">
        <v>69</v>
      </c>
      <c r="V39" s="7" t="s">
        <v>108</v>
      </c>
      <c r="X39" s="7" t="s">
        <v>72</v>
      </c>
      <c r="Y39" s="7" t="s">
        <v>73</v>
      </c>
      <c r="Z39" s="7" t="s">
        <v>110</v>
      </c>
      <c r="AA39" s="7">
        <v>143.62095731508401</v>
      </c>
      <c r="AB39" s="7" t="s">
        <v>111</v>
      </c>
      <c r="AC39" s="7" t="s">
        <v>112</v>
      </c>
      <c r="AD39" s="7">
        <v>20</v>
      </c>
      <c r="AH39" s="7" t="s">
        <v>113</v>
      </c>
      <c r="AI39" s="7" t="s">
        <v>114</v>
      </c>
      <c r="AJ39" s="7" t="s">
        <v>115</v>
      </c>
      <c r="AK39" s="7">
        <v>1290.3521995014776</v>
      </c>
    </row>
    <row r="40" spans="1:42" s="7" customFormat="1" x14ac:dyDescent="0.3">
      <c r="A40" s="7" t="s">
        <v>152</v>
      </c>
      <c r="B40" s="7">
        <v>1</v>
      </c>
      <c r="C40" s="7" t="s">
        <v>82</v>
      </c>
      <c r="D40" s="8" t="s">
        <v>82</v>
      </c>
      <c r="E40" s="7" t="s">
        <v>83</v>
      </c>
      <c r="F40" s="7" t="s">
        <v>84</v>
      </c>
      <c r="G40" s="7" t="s">
        <v>103</v>
      </c>
      <c r="H40" s="7" t="s">
        <v>60</v>
      </c>
      <c r="J40" s="7">
        <v>2023</v>
      </c>
      <c r="K40" s="7" t="s">
        <v>104</v>
      </c>
      <c r="L40" s="7" t="s">
        <v>105</v>
      </c>
      <c r="M40" s="27">
        <v>1583421</v>
      </c>
      <c r="N40" s="7" t="s">
        <v>64</v>
      </c>
      <c r="O40" s="7" t="s">
        <v>65</v>
      </c>
      <c r="P40" s="7">
        <v>2</v>
      </c>
      <c r="Q40" s="7" t="s">
        <v>66</v>
      </c>
      <c r="R40" s="7" t="s">
        <v>106</v>
      </c>
      <c r="S40" s="7" t="s">
        <v>107</v>
      </c>
      <c r="T40" s="7" t="s">
        <v>108</v>
      </c>
      <c r="U40" s="7" t="s">
        <v>69</v>
      </c>
      <c r="V40" s="7" t="s">
        <v>108</v>
      </c>
      <c r="X40" s="7" t="s">
        <v>72</v>
      </c>
      <c r="Y40" s="7" t="s">
        <v>73</v>
      </c>
      <c r="Z40" s="7" t="s">
        <v>110</v>
      </c>
      <c r="AA40" s="7">
        <v>143.62095731508401</v>
      </c>
      <c r="AB40" s="7" t="s">
        <v>111</v>
      </c>
      <c r="AC40" s="7" t="s">
        <v>112</v>
      </c>
      <c r="AD40" s="7">
        <v>21</v>
      </c>
      <c r="AH40" s="7" t="s">
        <v>113</v>
      </c>
      <c r="AI40" s="7" t="s">
        <v>114</v>
      </c>
      <c r="AJ40" s="7" t="s">
        <v>115</v>
      </c>
      <c r="AK40" s="7">
        <v>1910.7991057624074</v>
      </c>
    </row>
    <row r="41" spans="1:42" s="7" customFormat="1" x14ac:dyDescent="0.3">
      <c r="A41" s="7" t="s">
        <v>152</v>
      </c>
      <c r="B41" s="7">
        <v>1</v>
      </c>
      <c r="C41" s="7" t="s">
        <v>82</v>
      </c>
      <c r="D41" s="8" t="s">
        <v>82</v>
      </c>
      <c r="E41" s="7" t="s">
        <v>83</v>
      </c>
      <c r="F41" s="7" t="s">
        <v>84</v>
      </c>
      <c r="G41" s="7" t="s">
        <v>103</v>
      </c>
      <c r="H41" s="7" t="s">
        <v>60</v>
      </c>
      <c r="J41" s="7">
        <v>2023</v>
      </c>
      <c r="K41" s="7" t="s">
        <v>104</v>
      </c>
      <c r="L41" s="7" t="s">
        <v>105</v>
      </c>
      <c r="M41" s="27">
        <v>1583421</v>
      </c>
      <c r="N41" s="7" t="s">
        <v>64</v>
      </c>
      <c r="O41" s="7" t="s">
        <v>65</v>
      </c>
      <c r="P41" s="7">
        <v>2</v>
      </c>
      <c r="Q41" s="7" t="s">
        <v>66</v>
      </c>
      <c r="R41" s="7" t="s">
        <v>106</v>
      </c>
      <c r="S41" s="7" t="s">
        <v>107</v>
      </c>
      <c r="T41" s="7" t="s">
        <v>108</v>
      </c>
      <c r="U41" s="7" t="s">
        <v>69</v>
      </c>
      <c r="V41" s="7" t="s">
        <v>108</v>
      </c>
      <c r="X41" s="7" t="s">
        <v>72</v>
      </c>
      <c r="Y41" s="7" t="s">
        <v>73</v>
      </c>
      <c r="Z41" s="7" t="s">
        <v>110</v>
      </c>
      <c r="AA41" s="7">
        <v>143.62095731508401</v>
      </c>
      <c r="AB41" s="7" t="s">
        <v>111</v>
      </c>
      <c r="AC41" s="7" t="s">
        <v>112</v>
      </c>
      <c r="AD41" s="7">
        <v>22</v>
      </c>
      <c r="AH41" s="7" t="s">
        <v>113</v>
      </c>
      <c r="AI41" s="7" t="s">
        <v>114</v>
      </c>
      <c r="AJ41" s="7" t="s">
        <v>115</v>
      </c>
      <c r="AK41" s="7">
        <v>1894.8008738474211</v>
      </c>
    </row>
    <row r="42" spans="1:42" s="7" customFormat="1" x14ac:dyDescent="0.3">
      <c r="A42" s="7" t="s">
        <v>152</v>
      </c>
      <c r="B42" s="7">
        <v>1</v>
      </c>
      <c r="C42" s="7" t="s">
        <v>82</v>
      </c>
      <c r="D42" s="8" t="s">
        <v>82</v>
      </c>
      <c r="E42" s="7" t="s">
        <v>83</v>
      </c>
      <c r="F42" s="7" t="s">
        <v>84</v>
      </c>
      <c r="G42" s="7" t="s">
        <v>103</v>
      </c>
      <c r="H42" s="7" t="s">
        <v>60</v>
      </c>
      <c r="J42" s="7">
        <v>2023</v>
      </c>
      <c r="K42" s="7" t="s">
        <v>104</v>
      </c>
      <c r="L42" s="7" t="s">
        <v>105</v>
      </c>
      <c r="M42" s="27">
        <v>1583421</v>
      </c>
      <c r="N42" s="7" t="s">
        <v>64</v>
      </c>
      <c r="O42" s="7" t="s">
        <v>65</v>
      </c>
      <c r="P42" s="7">
        <v>2</v>
      </c>
      <c r="Q42" s="7" t="s">
        <v>66</v>
      </c>
      <c r="R42" s="7" t="s">
        <v>106</v>
      </c>
      <c r="S42" s="7" t="s">
        <v>107</v>
      </c>
      <c r="T42" s="7" t="s">
        <v>108</v>
      </c>
      <c r="U42" s="7" t="s">
        <v>69</v>
      </c>
      <c r="V42" s="7" t="s">
        <v>108</v>
      </c>
      <c r="X42" s="7" t="s">
        <v>72</v>
      </c>
      <c r="Y42" s="7" t="s">
        <v>73</v>
      </c>
      <c r="Z42" s="7" t="s">
        <v>110</v>
      </c>
      <c r="AA42" s="7">
        <v>143.62095731508401</v>
      </c>
      <c r="AB42" s="7" t="s">
        <v>111</v>
      </c>
      <c r="AC42" s="7" t="s">
        <v>112</v>
      </c>
      <c r="AD42" s="7">
        <v>23</v>
      </c>
      <c r="AH42" s="7" t="s">
        <v>113</v>
      </c>
      <c r="AI42" s="7" t="s">
        <v>114</v>
      </c>
      <c r="AJ42" s="7" t="s">
        <v>115</v>
      </c>
      <c r="AK42" s="7">
        <v>2737.3263919967662</v>
      </c>
    </row>
    <row r="43" spans="1:42" s="7" customFormat="1" x14ac:dyDescent="0.3">
      <c r="A43" s="7" t="s">
        <v>152</v>
      </c>
      <c r="B43" s="7">
        <v>1</v>
      </c>
      <c r="C43" s="7" t="s">
        <v>82</v>
      </c>
      <c r="D43" s="8" t="s">
        <v>82</v>
      </c>
      <c r="E43" s="7" t="s">
        <v>83</v>
      </c>
      <c r="F43" s="7" t="s">
        <v>84</v>
      </c>
      <c r="G43" s="7" t="s">
        <v>103</v>
      </c>
      <c r="H43" s="7" t="s">
        <v>60</v>
      </c>
      <c r="J43" s="7">
        <v>2023</v>
      </c>
      <c r="K43" s="7" t="s">
        <v>104</v>
      </c>
      <c r="L43" s="7" t="s">
        <v>105</v>
      </c>
      <c r="M43" s="27">
        <v>1583421</v>
      </c>
      <c r="N43" s="7" t="s">
        <v>64</v>
      </c>
      <c r="O43" s="7" t="s">
        <v>65</v>
      </c>
      <c r="P43" s="7">
        <v>2</v>
      </c>
      <c r="Q43" s="7" t="s">
        <v>66</v>
      </c>
      <c r="R43" s="7" t="s">
        <v>106</v>
      </c>
      <c r="S43" s="7" t="s">
        <v>107</v>
      </c>
      <c r="T43" s="7" t="s">
        <v>108</v>
      </c>
      <c r="U43" s="7" t="s">
        <v>69</v>
      </c>
      <c r="V43" s="7" t="s">
        <v>108</v>
      </c>
      <c r="X43" s="7" t="s">
        <v>72</v>
      </c>
      <c r="Y43" s="7" t="s">
        <v>73</v>
      </c>
      <c r="Z43" s="7" t="s">
        <v>110</v>
      </c>
      <c r="AA43" s="7">
        <v>143.62095731508401</v>
      </c>
      <c r="AB43" s="7" t="s">
        <v>111</v>
      </c>
      <c r="AC43" s="7" t="s">
        <v>112</v>
      </c>
      <c r="AD43" s="7">
        <v>24</v>
      </c>
      <c r="AH43" s="7" t="s">
        <v>113</v>
      </c>
      <c r="AI43" s="7" t="s">
        <v>114</v>
      </c>
      <c r="AJ43" s="7" t="s">
        <v>115</v>
      </c>
      <c r="AK43" s="7">
        <v>2321.8271018226933</v>
      </c>
    </row>
    <row r="44" spans="1:42" s="7" customFormat="1" x14ac:dyDescent="0.3">
      <c r="A44" s="7" t="s">
        <v>152</v>
      </c>
      <c r="B44" s="7">
        <v>1</v>
      </c>
      <c r="C44" s="7" t="s">
        <v>82</v>
      </c>
      <c r="D44" s="8" t="s">
        <v>82</v>
      </c>
      <c r="E44" s="7" t="s">
        <v>83</v>
      </c>
      <c r="F44" s="7" t="s">
        <v>84</v>
      </c>
      <c r="G44" s="7" t="s">
        <v>103</v>
      </c>
      <c r="H44" s="7" t="s">
        <v>60</v>
      </c>
      <c r="J44" s="7">
        <v>2023</v>
      </c>
      <c r="K44" s="7" t="s">
        <v>104</v>
      </c>
      <c r="L44" s="7" t="s">
        <v>105</v>
      </c>
      <c r="M44" s="27">
        <v>1583421</v>
      </c>
      <c r="N44" s="7" t="s">
        <v>64</v>
      </c>
      <c r="O44" s="7" t="s">
        <v>65</v>
      </c>
      <c r="P44" s="7">
        <v>2</v>
      </c>
      <c r="Q44" s="7" t="s">
        <v>66</v>
      </c>
      <c r="R44" s="7" t="s">
        <v>106</v>
      </c>
      <c r="S44" s="7" t="s">
        <v>107</v>
      </c>
      <c r="T44" s="7" t="s">
        <v>108</v>
      </c>
      <c r="U44" s="7" t="s">
        <v>69</v>
      </c>
      <c r="V44" s="7" t="s">
        <v>108</v>
      </c>
      <c r="X44" s="7" t="s">
        <v>72</v>
      </c>
      <c r="Y44" s="7" t="s">
        <v>73</v>
      </c>
      <c r="Z44" s="7" t="s">
        <v>110</v>
      </c>
      <c r="AA44" s="7">
        <v>143.62095731508401</v>
      </c>
      <c r="AB44" s="7" t="s">
        <v>111</v>
      </c>
      <c r="AC44" s="7" t="s">
        <v>112</v>
      </c>
      <c r="AD44" s="7">
        <v>25</v>
      </c>
      <c r="AH44" s="7" t="s">
        <v>113</v>
      </c>
      <c r="AI44" s="7" t="s">
        <v>114</v>
      </c>
      <c r="AJ44" s="7" t="s">
        <v>115</v>
      </c>
      <c r="AK44" s="7">
        <v>2284.0464166552583</v>
      </c>
    </row>
    <row r="45" spans="1:42" s="7" customFormat="1" x14ac:dyDescent="0.3">
      <c r="A45" s="7" t="s">
        <v>152</v>
      </c>
      <c r="B45" s="7">
        <v>1</v>
      </c>
      <c r="C45" s="7" t="s">
        <v>82</v>
      </c>
      <c r="D45" s="8" t="s">
        <v>82</v>
      </c>
      <c r="E45" s="7" t="s">
        <v>83</v>
      </c>
      <c r="F45" s="7" t="s">
        <v>84</v>
      </c>
      <c r="G45" s="7" t="s">
        <v>103</v>
      </c>
      <c r="H45" s="7" t="s">
        <v>60</v>
      </c>
      <c r="J45" s="7">
        <v>2023</v>
      </c>
      <c r="K45" s="7" t="s">
        <v>104</v>
      </c>
      <c r="L45" s="7" t="s">
        <v>105</v>
      </c>
      <c r="M45" s="27">
        <v>1583421</v>
      </c>
      <c r="N45" s="7" t="s">
        <v>64</v>
      </c>
      <c r="O45" s="7" t="s">
        <v>65</v>
      </c>
      <c r="P45" s="7">
        <v>2</v>
      </c>
      <c r="Q45" s="7" t="s">
        <v>66</v>
      </c>
      <c r="R45" s="7" t="s">
        <v>106</v>
      </c>
      <c r="S45" s="7" t="s">
        <v>107</v>
      </c>
      <c r="T45" s="7" t="s">
        <v>108</v>
      </c>
      <c r="U45" s="7" t="s">
        <v>69</v>
      </c>
      <c r="V45" s="7" t="s">
        <v>108</v>
      </c>
      <c r="X45" s="7" t="s">
        <v>72</v>
      </c>
      <c r="Y45" s="7" t="s">
        <v>73</v>
      </c>
      <c r="Z45" s="7" t="s">
        <v>110</v>
      </c>
      <c r="AA45" s="7">
        <v>143.62095731508401</v>
      </c>
      <c r="AB45" s="7" t="s">
        <v>111</v>
      </c>
      <c r="AC45" s="7" t="s">
        <v>112</v>
      </c>
      <c r="AD45" s="7">
        <v>26</v>
      </c>
      <c r="AH45" s="7" t="s">
        <v>113</v>
      </c>
      <c r="AI45" s="7" t="s">
        <v>114</v>
      </c>
      <c r="AJ45" s="7" t="s">
        <v>115</v>
      </c>
      <c r="AK45" s="7">
        <v>1754.1451332409597</v>
      </c>
    </row>
    <row r="46" spans="1:42" s="7" customFormat="1" x14ac:dyDescent="0.3">
      <c r="A46" s="7" t="s">
        <v>152</v>
      </c>
      <c r="B46" s="7">
        <v>1</v>
      </c>
      <c r="C46" s="7" t="s">
        <v>82</v>
      </c>
      <c r="D46" s="8" t="s">
        <v>82</v>
      </c>
      <c r="E46" s="7" t="s">
        <v>83</v>
      </c>
      <c r="F46" s="7" t="s">
        <v>84</v>
      </c>
      <c r="G46" s="7" t="s">
        <v>103</v>
      </c>
      <c r="H46" s="7" t="s">
        <v>60</v>
      </c>
      <c r="J46" s="7">
        <v>2023</v>
      </c>
      <c r="K46" s="7" t="s">
        <v>104</v>
      </c>
      <c r="L46" s="7" t="s">
        <v>105</v>
      </c>
      <c r="M46" s="27">
        <v>1583421</v>
      </c>
      <c r="N46" s="7" t="s">
        <v>64</v>
      </c>
      <c r="O46" s="7" t="s">
        <v>65</v>
      </c>
      <c r="P46" s="7">
        <v>2</v>
      </c>
      <c r="Q46" s="7" t="s">
        <v>66</v>
      </c>
      <c r="R46" s="7" t="s">
        <v>106</v>
      </c>
      <c r="S46" s="7" t="s">
        <v>107</v>
      </c>
      <c r="T46" s="7" t="s">
        <v>108</v>
      </c>
      <c r="U46" s="7" t="s">
        <v>69</v>
      </c>
      <c r="V46" s="7" t="s">
        <v>108</v>
      </c>
      <c r="X46" s="7" t="s">
        <v>72</v>
      </c>
      <c r="Y46" s="7" t="s">
        <v>73</v>
      </c>
      <c r="Z46" s="7" t="s">
        <v>110</v>
      </c>
      <c r="AA46" s="7">
        <v>143.62095731508401</v>
      </c>
      <c r="AB46" s="7" t="s">
        <v>111</v>
      </c>
      <c r="AC46" s="7" t="s">
        <v>112</v>
      </c>
      <c r="AD46" s="28">
        <v>17</v>
      </c>
      <c r="AH46" s="7" t="s">
        <v>73</v>
      </c>
      <c r="AI46" s="7" t="s">
        <v>74</v>
      </c>
      <c r="AJ46" s="7" t="s">
        <v>117</v>
      </c>
      <c r="AK46" s="7">
        <v>5.4675291723273898E-3</v>
      </c>
    </row>
    <row r="47" spans="1:42" s="7" customFormat="1" x14ac:dyDescent="0.3">
      <c r="A47" s="7" t="s">
        <v>152</v>
      </c>
      <c r="B47" s="7">
        <v>1</v>
      </c>
      <c r="C47" s="7" t="s">
        <v>82</v>
      </c>
      <c r="D47" s="8" t="s">
        <v>82</v>
      </c>
      <c r="E47" s="7" t="s">
        <v>83</v>
      </c>
      <c r="F47" s="7" t="s">
        <v>84</v>
      </c>
      <c r="G47" s="7" t="s">
        <v>103</v>
      </c>
      <c r="H47" s="7" t="s">
        <v>60</v>
      </c>
      <c r="J47" s="7">
        <v>2023</v>
      </c>
      <c r="K47" s="7" t="s">
        <v>104</v>
      </c>
      <c r="L47" s="7" t="s">
        <v>105</v>
      </c>
      <c r="M47" s="27">
        <v>1583421</v>
      </c>
      <c r="N47" s="7" t="s">
        <v>64</v>
      </c>
      <c r="O47" s="7" t="s">
        <v>65</v>
      </c>
      <c r="P47" s="7">
        <v>2</v>
      </c>
      <c r="Q47" s="7" t="s">
        <v>66</v>
      </c>
      <c r="R47" s="7" t="s">
        <v>106</v>
      </c>
      <c r="S47" s="7" t="s">
        <v>107</v>
      </c>
      <c r="T47" s="7" t="s">
        <v>108</v>
      </c>
      <c r="U47" s="7" t="s">
        <v>69</v>
      </c>
      <c r="V47" s="7" t="s">
        <v>108</v>
      </c>
      <c r="X47" s="7" t="s">
        <v>72</v>
      </c>
      <c r="Y47" s="7" t="s">
        <v>73</v>
      </c>
      <c r="Z47" s="7" t="s">
        <v>110</v>
      </c>
      <c r="AA47" s="7">
        <v>143.62095731508401</v>
      </c>
      <c r="AB47" s="7" t="s">
        <v>111</v>
      </c>
      <c r="AC47" s="7" t="s">
        <v>112</v>
      </c>
      <c r="AD47" s="28">
        <v>18</v>
      </c>
      <c r="AH47" s="7" t="s">
        <v>73</v>
      </c>
      <c r="AI47" s="7" t="s">
        <v>74</v>
      </c>
      <c r="AJ47" s="7" t="s">
        <v>117</v>
      </c>
      <c r="AK47" s="7">
        <v>6.1144567118772992E-3</v>
      </c>
    </row>
    <row r="48" spans="1:42" s="7" customFormat="1" x14ac:dyDescent="0.3">
      <c r="A48" s="7" t="s">
        <v>152</v>
      </c>
      <c r="B48" s="7">
        <v>1</v>
      </c>
      <c r="C48" s="7" t="s">
        <v>82</v>
      </c>
      <c r="D48" s="8" t="s">
        <v>82</v>
      </c>
      <c r="E48" s="7" t="s">
        <v>83</v>
      </c>
      <c r="F48" s="7" t="s">
        <v>84</v>
      </c>
      <c r="G48" s="7" t="s">
        <v>103</v>
      </c>
      <c r="H48" s="7" t="s">
        <v>60</v>
      </c>
      <c r="J48" s="7">
        <v>2023</v>
      </c>
      <c r="K48" s="7" t="s">
        <v>104</v>
      </c>
      <c r="L48" s="7" t="s">
        <v>105</v>
      </c>
      <c r="M48" s="27">
        <v>1583421</v>
      </c>
      <c r="N48" s="7" t="s">
        <v>64</v>
      </c>
      <c r="O48" s="7" t="s">
        <v>65</v>
      </c>
      <c r="P48" s="7">
        <v>2</v>
      </c>
      <c r="Q48" s="7" t="s">
        <v>66</v>
      </c>
      <c r="R48" s="7" t="s">
        <v>106</v>
      </c>
      <c r="S48" s="7" t="s">
        <v>107</v>
      </c>
      <c r="T48" s="7" t="s">
        <v>108</v>
      </c>
      <c r="U48" s="7" t="s">
        <v>69</v>
      </c>
      <c r="V48" s="7" t="s">
        <v>108</v>
      </c>
      <c r="X48" s="7" t="s">
        <v>72</v>
      </c>
      <c r="Y48" s="7" t="s">
        <v>73</v>
      </c>
      <c r="Z48" s="7" t="s">
        <v>110</v>
      </c>
      <c r="AA48" s="7">
        <v>143.62095731508401</v>
      </c>
      <c r="AB48" s="7" t="s">
        <v>111</v>
      </c>
      <c r="AC48" s="7" t="s">
        <v>112</v>
      </c>
      <c r="AD48" s="28">
        <v>19</v>
      </c>
      <c r="AH48" s="7" t="s">
        <v>73</v>
      </c>
      <c r="AI48" s="7" t="s">
        <v>74</v>
      </c>
      <c r="AJ48" s="7" t="s">
        <v>117</v>
      </c>
      <c r="AK48" s="7">
        <v>6.9160162542765101E-3</v>
      </c>
    </row>
    <row r="49" spans="1:49" s="7" customFormat="1" x14ac:dyDescent="0.3">
      <c r="A49" s="7" t="s">
        <v>152</v>
      </c>
      <c r="B49" s="7">
        <v>1</v>
      </c>
      <c r="C49" s="7" t="s">
        <v>82</v>
      </c>
      <c r="D49" s="8" t="s">
        <v>82</v>
      </c>
      <c r="E49" s="7" t="s">
        <v>83</v>
      </c>
      <c r="F49" s="7" t="s">
        <v>84</v>
      </c>
      <c r="G49" s="7" t="s">
        <v>103</v>
      </c>
      <c r="H49" s="7" t="s">
        <v>60</v>
      </c>
      <c r="J49" s="7">
        <v>2023</v>
      </c>
      <c r="K49" s="7" t="s">
        <v>104</v>
      </c>
      <c r="L49" s="7" t="s">
        <v>105</v>
      </c>
      <c r="M49" s="27">
        <v>1583421</v>
      </c>
      <c r="N49" s="7" t="s">
        <v>64</v>
      </c>
      <c r="O49" s="7" t="s">
        <v>65</v>
      </c>
      <c r="P49" s="7">
        <v>2</v>
      </c>
      <c r="Q49" s="7" t="s">
        <v>66</v>
      </c>
      <c r="R49" s="7" t="s">
        <v>106</v>
      </c>
      <c r="S49" s="7" t="s">
        <v>107</v>
      </c>
      <c r="T49" s="7" t="s">
        <v>108</v>
      </c>
      <c r="U49" s="7" t="s">
        <v>69</v>
      </c>
      <c r="V49" s="7" t="s">
        <v>108</v>
      </c>
      <c r="X49" s="7" t="s">
        <v>72</v>
      </c>
      <c r="Y49" s="7" t="s">
        <v>73</v>
      </c>
      <c r="Z49" s="7" t="s">
        <v>110</v>
      </c>
      <c r="AA49" s="7">
        <v>143.62095731508401</v>
      </c>
      <c r="AB49" s="7" t="s">
        <v>111</v>
      </c>
      <c r="AC49" s="7" t="s">
        <v>112</v>
      </c>
      <c r="AD49" s="7">
        <v>20</v>
      </c>
      <c r="AH49" s="7" t="s">
        <v>73</v>
      </c>
      <c r="AI49" s="7" t="s">
        <v>74</v>
      </c>
      <c r="AJ49" s="7" t="s">
        <v>117</v>
      </c>
      <c r="AK49" s="7">
        <v>7.4743746738224134E-3</v>
      </c>
    </row>
    <row r="50" spans="1:49" s="7" customFormat="1" x14ac:dyDescent="0.3">
      <c r="A50" s="7" t="s">
        <v>152</v>
      </c>
      <c r="B50" s="7">
        <v>1</v>
      </c>
      <c r="C50" s="7" t="s">
        <v>82</v>
      </c>
      <c r="D50" s="8" t="s">
        <v>82</v>
      </c>
      <c r="E50" s="7" t="s">
        <v>83</v>
      </c>
      <c r="F50" s="7" t="s">
        <v>84</v>
      </c>
      <c r="G50" s="7" t="s">
        <v>103</v>
      </c>
      <c r="H50" s="7" t="s">
        <v>60</v>
      </c>
      <c r="J50" s="7">
        <v>2023</v>
      </c>
      <c r="K50" s="7" t="s">
        <v>104</v>
      </c>
      <c r="L50" s="7" t="s">
        <v>105</v>
      </c>
      <c r="M50" s="27">
        <v>1583421</v>
      </c>
      <c r="N50" s="7" t="s">
        <v>64</v>
      </c>
      <c r="O50" s="7" t="s">
        <v>65</v>
      </c>
      <c r="P50" s="7">
        <v>2</v>
      </c>
      <c r="Q50" s="7" t="s">
        <v>66</v>
      </c>
      <c r="R50" s="7" t="s">
        <v>106</v>
      </c>
      <c r="S50" s="7" t="s">
        <v>107</v>
      </c>
      <c r="T50" s="7" t="s">
        <v>108</v>
      </c>
      <c r="U50" s="7" t="s">
        <v>69</v>
      </c>
      <c r="V50" s="7" t="s">
        <v>108</v>
      </c>
      <c r="X50" s="7" t="s">
        <v>72</v>
      </c>
      <c r="Y50" s="7" t="s">
        <v>73</v>
      </c>
      <c r="Z50" s="7" t="s">
        <v>110</v>
      </c>
      <c r="AA50" s="7">
        <v>143.62095731508401</v>
      </c>
      <c r="AB50" s="7" t="s">
        <v>111</v>
      </c>
      <c r="AC50" s="7" t="s">
        <v>112</v>
      </c>
      <c r="AD50" s="7">
        <v>21</v>
      </c>
      <c r="AH50" s="7" t="s">
        <v>73</v>
      </c>
      <c r="AI50" s="7" t="s">
        <v>74</v>
      </c>
      <c r="AJ50" s="7" t="s">
        <v>117</v>
      </c>
      <c r="AK50" s="7">
        <v>8.3492896233372631E-3</v>
      </c>
    </row>
    <row r="51" spans="1:49" s="7" customFormat="1" x14ac:dyDescent="0.3">
      <c r="A51" s="7" t="s">
        <v>152</v>
      </c>
      <c r="B51" s="7">
        <v>1</v>
      </c>
      <c r="C51" s="7" t="s">
        <v>82</v>
      </c>
      <c r="D51" s="8" t="s">
        <v>82</v>
      </c>
      <c r="E51" s="7" t="s">
        <v>83</v>
      </c>
      <c r="F51" s="7" t="s">
        <v>84</v>
      </c>
      <c r="G51" s="7" t="s">
        <v>103</v>
      </c>
      <c r="H51" s="7" t="s">
        <v>60</v>
      </c>
      <c r="J51" s="7">
        <v>2023</v>
      </c>
      <c r="K51" s="7" t="s">
        <v>104</v>
      </c>
      <c r="L51" s="7" t="s">
        <v>105</v>
      </c>
      <c r="M51" s="27">
        <v>1583421</v>
      </c>
      <c r="N51" s="7" t="s">
        <v>64</v>
      </c>
      <c r="O51" s="7" t="s">
        <v>65</v>
      </c>
      <c r="P51" s="7">
        <v>2</v>
      </c>
      <c r="Q51" s="7" t="s">
        <v>66</v>
      </c>
      <c r="R51" s="7" t="s">
        <v>106</v>
      </c>
      <c r="S51" s="7" t="s">
        <v>107</v>
      </c>
      <c r="T51" s="7" t="s">
        <v>108</v>
      </c>
      <c r="U51" s="7" t="s">
        <v>69</v>
      </c>
      <c r="V51" s="7" t="s">
        <v>108</v>
      </c>
      <c r="X51" s="7" t="s">
        <v>72</v>
      </c>
      <c r="Y51" s="7" t="s">
        <v>73</v>
      </c>
      <c r="Z51" s="7" t="s">
        <v>110</v>
      </c>
      <c r="AA51" s="7">
        <v>143.62095731508401</v>
      </c>
      <c r="AB51" s="7" t="s">
        <v>111</v>
      </c>
      <c r="AC51" s="7" t="s">
        <v>112</v>
      </c>
      <c r="AD51" s="7">
        <v>22</v>
      </c>
      <c r="AH51" s="7" t="s">
        <v>73</v>
      </c>
      <c r="AI51" s="7" t="s">
        <v>74</v>
      </c>
      <c r="AJ51" s="7" t="s">
        <v>117</v>
      </c>
      <c r="AK51" s="7">
        <v>9.8292469555517105E-3</v>
      </c>
    </row>
    <row r="52" spans="1:49" s="7" customFormat="1" x14ac:dyDescent="0.3">
      <c r="A52" s="7" t="s">
        <v>152</v>
      </c>
      <c r="B52" s="7">
        <v>1</v>
      </c>
      <c r="C52" s="7" t="s">
        <v>82</v>
      </c>
      <c r="D52" s="8" t="s">
        <v>82</v>
      </c>
      <c r="E52" s="7" t="s">
        <v>83</v>
      </c>
      <c r="F52" s="7" t="s">
        <v>84</v>
      </c>
      <c r="G52" s="7" t="s">
        <v>103</v>
      </c>
      <c r="H52" s="7" t="s">
        <v>60</v>
      </c>
      <c r="J52" s="7">
        <v>2023</v>
      </c>
      <c r="K52" s="7" t="s">
        <v>104</v>
      </c>
      <c r="L52" s="7" t="s">
        <v>105</v>
      </c>
      <c r="M52" s="27">
        <v>1583421</v>
      </c>
      <c r="N52" s="7" t="s">
        <v>64</v>
      </c>
      <c r="O52" s="7" t="s">
        <v>65</v>
      </c>
      <c r="P52" s="7">
        <v>2</v>
      </c>
      <c r="Q52" s="7" t="s">
        <v>66</v>
      </c>
      <c r="R52" s="7" t="s">
        <v>106</v>
      </c>
      <c r="S52" s="7" t="s">
        <v>107</v>
      </c>
      <c r="T52" s="7" t="s">
        <v>108</v>
      </c>
      <c r="U52" s="7" t="s">
        <v>69</v>
      </c>
      <c r="V52" s="7" t="s">
        <v>108</v>
      </c>
      <c r="X52" s="7" t="s">
        <v>72</v>
      </c>
      <c r="Y52" s="7" t="s">
        <v>73</v>
      </c>
      <c r="Z52" s="7" t="s">
        <v>110</v>
      </c>
      <c r="AA52" s="7">
        <v>143.62095731508401</v>
      </c>
      <c r="AB52" s="7" t="s">
        <v>111</v>
      </c>
      <c r="AC52" s="7" t="s">
        <v>112</v>
      </c>
      <c r="AD52" s="7">
        <v>23</v>
      </c>
      <c r="AH52" s="7" t="s">
        <v>73</v>
      </c>
      <c r="AI52" s="7" t="s">
        <v>74</v>
      </c>
      <c r="AJ52" s="7" t="s">
        <v>117</v>
      </c>
      <c r="AK52" s="7">
        <v>9.9092977904625713E-3</v>
      </c>
    </row>
    <row r="53" spans="1:49" s="7" customFormat="1" x14ac:dyDescent="0.3">
      <c r="A53" s="7" t="s">
        <v>152</v>
      </c>
      <c r="B53" s="7">
        <v>1</v>
      </c>
      <c r="C53" s="7" t="s">
        <v>82</v>
      </c>
      <c r="D53" s="8" t="s">
        <v>82</v>
      </c>
      <c r="E53" s="7" t="s">
        <v>83</v>
      </c>
      <c r="F53" s="7" t="s">
        <v>84</v>
      </c>
      <c r="G53" s="7" t="s">
        <v>103</v>
      </c>
      <c r="H53" s="7" t="s">
        <v>60</v>
      </c>
      <c r="J53" s="7">
        <v>2023</v>
      </c>
      <c r="K53" s="7" t="s">
        <v>104</v>
      </c>
      <c r="L53" s="7" t="s">
        <v>105</v>
      </c>
      <c r="M53" s="27">
        <v>1583421</v>
      </c>
      <c r="N53" s="7" t="s">
        <v>64</v>
      </c>
      <c r="O53" s="7" t="s">
        <v>65</v>
      </c>
      <c r="P53" s="7">
        <v>2</v>
      </c>
      <c r="Q53" s="7" t="s">
        <v>66</v>
      </c>
      <c r="R53" s="7" t="s">
        <v>106</v>
      </c>
      <c r="S53" s="7" t="s">
        <v>107</v>
      </c>
      <c r="T53" s="7" t="s">
        <v>108</v>
      </c>
      <c r="U53" s="7" t="s">
        <v>69</v>
      </c>
      <c r="V53" s="7" t="s">
        <v>108</v>
      </c>
      <c r="X53" s="7" t="s">
        <v>72</v>
      </c>
      <c r="Y53" s="7" t="s">
        <v>73</v>
      </c>
      <c r="Z53" s="7" t="s">
        <v>110</v>
      </c>
      <c r="AA53" s="7">
        <v>143.62095731508401</v>
      </c>
      <c r="AB53" s="7" t="s">
        <v>111</v>
      </c>
      <c r="AC53" s="7" t="s">
        <v>112</v>
      </c>
      <c r="AD53" s="7">
        <v>24</v>
      </c>
      <c r="AH53" s="7" t="s">
        <v>73</v>
      </c>
      <c r="AI53" s="7" t="s">
        <v>74</v>
      </c>
      <c r="AJ53" s="7" t="s">
        <v>117</v>
      </c>
      <c r="AK53" s="7">
        <v>1.0067005278472849E-2</v>
      </c>
    </row>
    <row r="54" spans="1:49" s="7" customFormat="1" x14ac:dyDescent="0.3">
      <c r="A54" s="7" t="s">
        <v>152</v>
      </c>
      <c r="B54" s="7">
        <v>1</v>
      </c>
      <c r="C54" s="7" t="s">
        <v>82</v>
      </c>
      <c r="D54" s="8" t="s">
        <v>82</v>
      </c>
      <c r="E54" s="7" t="s">
        <v>83</v>
      </c>
      <c r="F54" s="7" t="s">
        <v>84</v>
      </c>
      <c r="G54" s="7" t="s">
        <v>103</v>
      </c>
      <c r="H54" s="7" t="s">
        <v>60</v>
      </c>
      <c r="J54" s="7">
        <v>2023</v>
      </c>
      <c r="K54" s="7" t="s">
        <v>104</v>
      </c>
      <c r="L54" s="7" t="s">
        <v>105</v>
      </c>
      <c r="M54" s="27">
        <v>1583421</v>
      </c>
      <c r="N54" s="7" t="s">
        <v>64</v>
      </c>
      <c r="O54" s="7" t="s">
        <v>65</v>
      </c>
      <c r="P54" s="7">
        <v>2</v>
      </c>
      <c r="Q54" s="7" t="s">
        <v>66</v>
      </c>
      <c r="R54" s="7" t="s">
        <v>106</v>
      </c>
      <c r="S54" s="7" t="s">
        <v>107</v>
      </c>
      <c r="T54" s="7" t="s">
        <v>108</v>
      </c>
      <c r="U54" s="7" t="s">
        <v>69</v>
      </c>
      <c r="V54" s="7" t="s">
        <v>108</v>
      </c>
      <c r="X54" s="7" t="s">
        <v>72</v>
      </c>
      <c r="Y54" s="7" t="s">
        <v>73</v>
      </c>
      <c r="Z54" s="7" t="s">
        <v>110</v>
      </c>
      <c r="AA54" s="7">
        <v>143.62095731508401</v>
      </c>
      <c r="AB54" s="7" t="s">
        <v>111</v>
      </c>
      <c r="AC54" s="7" t="s">
        <v>112</v>
      </c>
      <c r="AD54" s="7">
        <v>25</v>
      </c>
      <c r="AH54" s="7" t="s">
        <v>73</v>
      </c>
      <c r="AI54" s="7" t="s">
        <v>74</v>
      </c>
      <c r="AJ54" s="7" t="s">
        <v>117</v>
      </c>
      <c r="AK54" s="7">
        <v>1.0837442061400008E-2</v>
      </c>
    </row>
    <row r="55" spans="1:49" s="7" customFormat="1" x14ac:dyDescent="0.3">
      <c r="A55" s="7" t="s">
        <v>152</v>
      </c>
      <c r="B55" s="7">
        <v>1</v>
      </c>
      <c r="C55" s="7" t="s">
        <v>82</v>
      </c>
      <c r="D55" s="8" t="s">
        <v>82</v>
      </c>
      <c r="E55" s="7" t="s">
        <v>83</v>
      </c>
      <c r="F55" s="7" t="s">
        <v>84</v>
      </c>
      <c r="G55" s="7" t="s">
        <v>103</v>
      </c>
      <c r="H55" s="7" t="s">
        <v>60</v>
      </c>
      <c r="J55" s="7">
        <v>2023</v>
      </c>
      <c r="K55" s="7" t="s">
        <v>104</v>
      </c>
      <c r="L55" s="7" t="s">
        <v>105</v>
      </c>
      <c r="M55" s="27">
        <v>1583421</v>
      </c>
      <c r="N55" s="7" t="s">
        <v>64</v>
      </c>
      <c r="O55" s="7" t="s">
        <v>65</v>
      </c>
      <c r="P55" s="7">
        <v>2</v>
      </c>
      <c r="Q55" s="7" t="s">
        <v>66</v>
      </c>
      <c r="R55" s="7" t="s">
        <v>106</v>
      </c>
      <c r="S55" s="7" t="s">
        <v>107</v>
      </c>
      <c r="T55" s="7" t="s">
        <v>108</v>
      </c>
      <c r="U55" s="7" t="s">
        <v>69</v>
      </c>
      <c r="V55" s="7" t="s">
        <v>108</v>
      </c>
      <c r="X55" s="7" t="s">
        <v>72</v>
      </c>
      <c r="Y55" s="7" t="s">
        <v>73</v>
      </c>
      <c r="Z55" s="7" t="s">
        <v>110</v>
      </c>
      <c r="AA55" s="7">
        <v>143.62095731508401</v>
      </c>
      <c r="AB55" s="7" t="s">
        <v>111</v>
      </c>
      <c r="AC55" s="7" t="s">
        <v>112</v>
      </c>
      <c r="AD55" s="7">
        <v>26</v>
      </c>
      <c r="AH55" s="7" t="s">
        <v>73</v>
      </c>
      <c r="AI55" s="7" t="s">
        <v>74</v>
      </c>
      <c r="AJ55" s="7" t="s">
        <v>117</v>
      </c>
      <c r="AK55" s="7">
        <v>1.1376457318411526E-2</v>
      </c>
    </row>
    <row r="56" spans="1:49" x14ac:dyDescent="0.3">
      <c r="AU56" s="20"/>
      <c r="AV56" s="20"/>
      <c r="AW56" s="20"/>
    </row>
    <row r="57" spans="1:49" x14ac:dyDescent="0.3">
      <c r="A57" s="2" t="s">
        <v>24</v>
      </c>
      <c r="B57" s="2" t="s">
        <v>25</v>
      </c>
      <c r="C57" s="2" t="s">
        <v>142</v>
      </c>
      <c r="D57" s="2" t="s">
        <v>138</v>
      </c>
      <c r="E57" s="2" t="s">
        <v>141</v>
      </c>
      <c r="F57" s="2" t="s">
        <v>26</v>
      </c>
      <c r="G57" s="2" t="s">
        <v>27</v>
      </c>
      <c r="H57" s="2" t="s">
        <v>28</v>
      </c>
      <c r="I57" s="2" t="s">
        <v>29</v>
      </c>
      <c r="J57" s="2" t="s">
        <v>30</v>
      </c>
      <c r="K57" s="2" t="s">
        <v>144</v>
      </c>
      <c r="L57" s="2" t="s">
        <v>31</v>
      </c>
      <c r="M57" s="2" t="s">
        <v>32</v>
      </c>
      <c r="N57" s="2" t="s">
        <v>33</v>
      </c>
      <c r="O57" s="2" t="s">
        <v>34</v>
      </c>
      <c r="P57" s="2" t="s">
        <v>35</v>
      </c>
      <c r="Q57" s="2" t="s">
        <v>36</v>
      </c>
      <c r="R57" s="2" t="s">
        <v>37</v>
      </c>
      <c r="S57" s="2" t="s">
        <v>38</v>
      </c>
      <c r="T57" s="2" t="s">
        <v>39</v>
      </c>
      <c r="U57" s="2" t="s">
        <v>40</v>
      </c>
      <c r="V57" s="2" t="s">
        <v>41</v>
      </c>
      <c r="W57" s="2" t="s">
        <v>42</v>
      </c>
      <c r="X57" s="2" t="s">
        <v>59</v>
      </c>
      <c r="Y57" s="2" t="s">
        <v>94</v>
      </c>
      <c r="Z57" s="2" t="s">
        <v>95</v>
      </c>
      <c r="AA57" s="2" t="s">
        <v>97</v>
      </c>
      <c r="AB57" s="2" t="s">
        <v>98</v>
      </c>
      <c r="AC57" s="2" t="s">
        <v>99</v>
      </c>
      <c r="AD57" s="31" t="s">
        <v>54</v>
      </c>
      <c r="AE57" s="31" t="s">
        <v>55</v>
      </c>
      <c r="AF57" s="31" t="s">
        <v>56</v>
      </c>
      <c r="AG57" s="30" t="s">
        <v>53</v>
      </c>
    </row>
    <row r="58" spans="1:49" s="28" customFormat="1" x14ac:dyDescent="0.3">
      <c r="A58" s="7" t="s">
        <v>153</v>
      </c>
      <c r="B58" s="7">
        <v>1</v>
      </c>
      <c r="C58" s="7" t="s">
        <v>82</v>
      </c>
      <c r="D58" s="8" t="s">
        <v>82</v>
      </c>
      <c r="E58" s="7" t="s">
        <v>83</v>
      </c>
      <c r="F58" s="7" t="s">
        <v>60</v>
      </c>
      <c r="G58" s="7" t="s">
        <v>103</v>
      </c>
      <c r="H58" s="7" t="s">
        <v>60</v>
      </c>
      <c r="I58" s="7"/>
      <c r="J58" s="7">
        <v>2023</v>
      </c>
      <c r="K58" s="7">
        <v>2023</v>
      </c>
      <c r="L58" s="7" t="s">
        <v>104</v>
      </c>
      <c r="M58" s="7" t="s">
        <v>105</v>
      </c>
      <c r="N58" s="27">
        <v>1583421</v>
      </c>
      <c r="O58" s="7" t="s">
        <v>64</v>
      </c>
      <c r="P58" s="7" t="s">
        <v>65</v>
      </c>
      <c r="Q58" s="7">
        <v>1</v>
      </c>
      <c r="R58" s="7" t="s">
        <v>66</v>
      </c>
      <c r="S58" s="7" t="s">
        <v>106</v>
      </c>
      <c r="T58" s="7" t="s">
        <v>107</v>
      </c>
      <c r="U58" s="7" t="s">
        <v>108</v>
      </c>
      <c r="V58" s="7" t="s">
        <v>69</v>
      </c>
      <c r="W58" s="7" t="s">
        <v>108</v>
      </c>
      <c r="X58" s="7" t="s">
        <v>109</v>
      </c>
      <c r="Y58" s="7" t="s">
        <v>111</v>
      </c>
      <c r="Z58" s="7" t="s">
        <v>112</v>
      </c>
      <c r="AA58" s="7"/>
      <c r="AB58" s="7"/>
      <c r="AC58" s="7"/>
      <c r="AD58" s="7" t="s">
        <v>64</v>
      </c>
      <c r="AE58" s="7" t="s">
        <v>113</v>
      </c>
      <c r="AF58" s="7" t="s">
        <v>91</v>
      </c>
    </row>
    <row r="59" spans="1:49" s="7" customFormat="1" x14ac:dyDescent="0.3">
      <c r="A59" s="7" t="s">
        <v>153</v>
      </c>
      <c r="B59" s="7">
        <v>1</v>
      </c>
      <c r="C59" s="7" t="s">
        <v>82</v>
      </c>
      <c r="D59" s="8" t="s">
        <v>82</v>
      </c>
      <c r="E59" s="7" t="s">
        <v>83</v>
      </c>
      <c r="F59" s="7" t="s">
        <v>60</v>
      </c>
      <c r="G59" s="7" t="s">
        <v>103</v>
      </c>
      <c r="H59" s="7" t="s">
        <v>60</v>
      </c>
      <c r="J59" s="7">
        <v>2023</v>
      </c>
      <c r="K59" s="7">
        <v>2023</v>
      </c>
      <c r="L59" s="7" t="s">
        <v>104</v>
      </c>
      <c r="M59" s="7" t="s">
        <v>105</v>
      </c>
      <c r="N59" s="27">
        <v>1583421</v>
      </c>
      <c r="O59" s="7" t="s">
        <v>64</v>
      </c>
      <c r="P59" s="7" t="s">
        <v>65</v>
      </c>
      <c r="Q59" s="7">
        <v>3</v>
      </c>
      <c r="R59" s="7" t="s">
        <v>66</v>
      </c>
      <c r="S59" s="7" t="s">
        <v>106</v>
      </c>
      <c r="T59" s="7" t="s">
        <v>107</v>
      </c>
      <c r="U59" s="7" t="s">
        <v>108</v>
      </c>
      <c r="V59" s="7" t="s">
        <v>69</v>
      </c>
      <c r="W59" s="7" t="s">
        <v>108</v>
      </c>
      <c r="X59" s="7" t="s">
        <v>137</v>
      </c>
      <c r="Y59" s="7" t="s">
        <v>111</v>
      </c>
      <c r="Z59" s="7" t="s">
        <v>112</v>
      </c>
      <c r="AD59" s="7" t="s">
        <v>64</v>
      </c>
      <c r="AE59" s="7" t="s">
        <v>113</v>
      </c>
      <c r="AF59" s="7" t="s">
        <v>91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5149A2F9434B4282E37FA76C9DDAE3" ma:contentTypeVersion="8" ma:contentTypeDescription="Create a new document." ma:contentTypeScope="" ma:versionID="2f73c15ba4091178a7f0362f23ea5149">
  <xsd:schema xmlns:xsd="http://www.w3.org/2001/XMLSchema" xmlns:xs="http://www.w3.org/2001/XMLSchema" xmlns:p="http://schemas.microsoft.com/office/2006/metadata/properties" xmlns:ns2="9a657112-7d30-43e0-84e9-071e428c6b63" targetNamespace="http://schemas.microsoft.com/office/2006/metadata/properties" ma:root="true" ma:fieldsID="ec4077129998c06208654d7e46c796ff" ns2:_="">
    <xsd:import namespace="9a657112-7d30-43e0-84e9-071e428c6b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657112-7d30-43e0-84e9-071e428c6b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0D1CC51-A6DB-49BA-A2CB-0FBD260346D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F3E457F-80CE-4FD2-A2B0-B4DEBDF3523B}">
  <ds:schemaRefs>
    <ds:schemaRef ds:uri="http://purl.org/dc/elements/1.1/"/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9a657112-7d30-43e0-84e9-071e428c6b63"/>
    <ds:schemaRef ds:uri="http://purl.org/dc/dcmitype/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66D1B601-9B8E-49C2-80DA-D4C6CE8EC2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657112-7d30-43e0-84e9-071e428c6b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0b220ce-5735-4468-91df-05cae5ff1fdc}" enabled="0" method="" siteId="{e0b220ce-5735-4468-91df-05cae5ff1fd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work_flow</vt:lpstr>
      <vt:lpstr>catch_allo_detailed</vt:lpstr>
      <vt:lpstr>catch_allo_simple</vt:lpstr>
      <vt:lpstr>distribution_allo_detailed</vt:lpstr>
      <vt:lpstr>distribution_allo_simple</vt:lpstr>
    </vt:vector>
  </TitlesOfParts>
  <Manager/>
  <Company>DTU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Kirsten Birch Håkansson</dc:creator>
  <cp:keywords/>
  <dc:description/>
  <cp:lastModifiedBy>Kirsten Birch Håkansson</cp:lastModifiedBy>
  <cp:revision/>
  <dcterms:created xsi:type="dcterms:W3CDTF">2026-07-21T09:11:30Z</dcterms:created>
  <dcterms:modified xsi:type="dcterms:W3CDTF">2026-09-22T06:15:08Z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0x010100CF5149A2F9434B4282E37FA76C9DDAE3</vt:lpwstr>
  </property>
</Properties>
</file>